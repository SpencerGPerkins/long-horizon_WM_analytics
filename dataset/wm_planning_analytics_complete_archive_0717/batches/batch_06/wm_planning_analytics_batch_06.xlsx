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70d78152d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cd96bb45126488e"/>
    <x:sheet xmlns:r="http://schemas.openxmlformats.org/officeDocument/2006/relationships" name="Annotations" sheetId="2" r:id="R2f75b368d06648eb"/>
    <x:sheet xmlns:r="http://schemas.openxmlformats.org/officeDocument/2006/relationships" name="Taxonomy" sheetId="3" r:id="R1e5472c667c3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acc29794e4dae" /><Relationship Type="http://schemas.openxmlformats.org/officeDocument/2006/relationships/theme" Target="/xl/theme/theme1.xml" Id="R7b35d8a2543441cf" /><Relationship Type="http://schemas.openxmlformats.org/officeDocument/2006/relationships/sharedStrings" Target="/xl/sharedStrings.xml" Id="Ra836e23ff8bb484a" /><Relationship Type="http://schemas.openxmlformats.org/officeDocument/2006/relationships/worksheet" Target="/xl/worksheets/sheet1.xml" Id="Rdcd96bb45126488e" /><Relationship Type="http://schemas.openxmlformats.org/officeDocument/2006/relationships/worksheet" Target="/xl/worksheets/sheet2.xml" Id="R2f75b368d06648eb" /><Relationship Type="http://schemas.openxmlformats.org/officeDocument/2006/relationships/worksheet" Target="/xl/worksheets/sheet3.xml" Id="R1e5472c667c341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e287d5466447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Corpus by First-Publication Year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Methods</c:v>
          </c:tx>
          <c:cat>
            <c:strRef>
              <c:f>'Dashboard'!$A$18:$A$24</c:f>
              <c:strCache>
                <c:ptCount val="0"/>
              </c:strCache>
            </c:strRef>
          </c:cat>
          <c:val>
            <c:numRef>
              <c:f>'Dashboard'!$B$18:$B$24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Surveys</c:v>
          </c:tx>
          <c:cat>
            <c:strRef>
              <c:f>'Dashboard'!$A$18:$A$24</c:f>
              <c:strCache>
                <c:ptCount val="0"/>
              </c:strCache>
            </c:strRef>
          </c:cat>
          <c:val>
            <c:numRef>
              <c:f>'Dashboard'!$C$18:$C$24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Benchmarks</c:v>
          </c:tx>
          <c:cat>
            <c:strRef>
              <c:f>'Dashboard'!$A$18:$A$24</c:f>
              <c:strCache>
                <c:ptCount val="0"/>
              </c:strCache>
            </c:strRef>
          </c:cat>
          <c:val>
            <c:numRef>
              <c:f>'Dashboard'!$D$18:$D$24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e287d5466447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tch06Annotations" displayName="Batch06Annotations" ref="A1:BA6" headerRowCount="1">
  <x:tableColumns count="53">
    <x:tableColumn id="1" name="batch_id"/>
    <x:tableColumn id="2" name="paper_id"/>
    <x:tableColumn id="3" name="title"/>
    <x:tableColumn id="4" name="authors"/>
    <x:tableColumn id="5" name="year"/>
    <x:tableColumn id="6" name="year_basis"/>
    <x:tableColumn id="7" name="venue"/>
    <x:tableColumn id="8" name="publication_status"/>
    <x:tableColumn id="9" name="paper_type"/>
    <x:tableColumn id="10" name="citation_count"/>
    <x:tableColumn id="11" name="doi_or_identifier"/>
    <x:tableColumn id="12" name="open_source"/>
    <x:tableColumn id="13" name="open_source_notes"/>
    <x:tableColumn id="14" name="task_domain"/>
    <x:tableColumn id="15" name="primary_problem"/>
    <x:tableColumn id="16" name="long_horizon"/>
    <x:tableColumn id="17" name="language_conditioned"/>
    <x:tableColumn id="18" name="human_robot_interaction"/>
    <x:tableColumn id="19" name="uses_world_model"/>
    <x:tableColumn id="20" name="world_model_family"/>
    <x:tableColumn id="21" name="world_model_detail"/>
    <x:tableColumn id="22" name="predictive_space"/>
    <x:tableColumn id="23" name="prediction_target"/>
    <x:tableColumn id="24" name="action_conditioned"/>
    <x:tableColumn id="25" name="video_prediction"/>
    <x:tableColumn id="26" name="uses_planning"/>
    <x:tableColumn id="27" name="planning_method"/>
    <x:tableColumn id="28" name="planning_representation"/>
    <x:tableColumn id="29" name="planning_horizon"/>
    <x:tableColumn id="30" name="horizon_basis"/>
    <x:tableColumn id="31" name="hierarchical_planning"/>
    <x:tableColumn id="32" name="replanning_online"/>
    <x:tableColumn id="33" name="planning_role"/>
    <x:tableColumn id="34" name="learning_type"/>
    <x:tableColumn id="35" name="policy_type"/>
    <x:tableColumn id="36" name="pretraining"/>
    <x:tableColumn id="37" name="observation_modality"/>
    <x:tableColumn id="38" name="goal_representation"/>
    <x:tableColumn id="39" name="action_space"/>
    <x:tableColumn id="40" name="benchmark"/>
    <x:tableColumn id="41" name="robot_platform"/>
    <x:tableColumn id="42" name="simulation"/>
    <x:tableColumn id="43" name="real_robot"/>
    <x:tableColumn id="44" name="main_contribution"/>
    <x:tableColumn id="45" name="novelty"/>
    <x:tableColumn id="46" name="limitations"/>
    <x:tableColumn id="47" name="future_work"/>
    <x:tableColumn id="48" name="evidence_world_model"/>
    <x:tableColumn id="49" name="evidence_planning"/>
    <x:tableColumn id="50" name="evidence_horizon"/>
    <x:tableColumn id="51" name="confidence"/>
    <x:tableColumn id="52" name="review_flags"/>
    <x:tableColumn id="53" name="source_document"/>
  </x:tableColumns>
  <x:tableStyleInfo name="TableStyleMedium2" showRowStripes="1"/>
</x:table>
</file>

<file path=xl/tables/table2.xml><?xml version="1.0" encoding="utf-8"?>
<x:table xmlns:x="http://schemas.openxmlformats.org/spreadsheetml/2006/main" id="2" name="Batch06AnnotationsTaxonomy" displayName="Batch06AnnotationsTaxonomy" ref="A1:D15" headerRowCount="1">
  <x:tableColumns count="4">
    <x:tableColumn id="1" name="Field"/>
    <x:tableColumn id="2" name="Definition"/>
    <x:tableColumn id="3" name="Allowed / normalized values"/>
    <x:tableColumn id="4" name="Anno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0e7be7f55a45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bc0e9479f74c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5725686ea8477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5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8" t="str">
        <x:v>WM &amp; Planning Analytics — Batch 06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4">
      <x:c r="A4" s="35" t="str">
        <x:v>Total papers</x:v>
      </x:c>
      <x:c r="B4" s="43" t="n">
        <x:f>COUNTA(Annotations!$C:$C)-1</x:f>
        <x:v>5</x:v>
      </x:c>
      <x:c r="D4" s="48" t="str">
        <x:v>Batch 06 interpretation notes</x:v>
      </x:c>
      <x:c r="E4" s="48"/>
      <x:c r="F4" s="48"/>
      <x:c r="G4" s="48"/>
    </x:row>
    <x:row r="5">
      <x:c r="A5" s="35" t="str">
        <x:v>Method papers</x:v>
      </x:c>
      <x:c r="B5" s="43" t="n">
        <x:f>COUNTIF(Annotations!$I:$I,"Method")</x:f>
        <x:v>4</x:v>
      </x:c>
      <x:c r="D5" s="52" t="str">
        <x:v>• JEPA-VLA uses frozen predictive embeddings but does not learn downstream environment dynamics.
• ACT/ALOHA is a closed-loop chunked imitation policy, not a planner.
• G-DOOM is a true object-centric graph world model with 20-step MPC.
• The audio world model predicts future sound but supplies it to a direct policy rather than search.
• The Sora survey is retained for definitions and broad world-model challenges.</x:v>
      </x:c>
      <x:c r="E5" s="52"/>
      <x:c r="F5" s="52"/>
      <x:c r="G5" s="52"/>
    </x:row>
    <x:row r="6">
      <x:c r="A6" s="35" t="str">
        <x:v>Survey papers</x:v>
      </x:c>
      <x:c r="B6" s="43" t="n">
        <x:f>COUNTIF(Annotations!$I:$I,"Survey")</x:f>
        <x:v>1</x:v>
      </x:c>
      <x:c r="D6" s="52"/>
      <x:c r="E6" s="52"/>
      <x:c r="F6" s="52"/>
      <x:c r="G6" s="52"/>
    </x:row>
    <x:row r="7">
      <x:c r="A7" s="35" t="str">
        <x:v>Benchmark papers</x:v>
      </x:c>
      <x:c r="B7" s="43" t="n">
        <x:f>COUNTIF(Annotations!$I:$I,"Benchmark")</x:f>
        <x:v>0</x:v>
      </x:c>
      <x:c r="D7" s="52"/>
      <x:c r="E7" s="52"/>
      <x:c r="F7" s="52"/>
      <x:c r="G7" s="52"/>
    </x:row>
    <x:row r="8">
      <x:c r="A8" s="35" t="str">
        <x:v>Method papers using world models</x:v>
      </x:c>
      <x:c r="B8" s="43" t="n">
        <x:f>COUNTIFS(Annotations!$I:$I,"Method",Annotations!$S:$S,"Yes")</x:f>
        <x:v>2</x:v>
      </x:c>
      <x:c r="D8" s="52"/>
      <x:c r="E8" s="52"/>
      <x:c r="F8" s="52"/>
      <x:c r="G8" s="52"/>
    </x:row>
    <x:row r="9">
      <x:c r="A9" s="35" t="str">
        <x:v>Definition-sensitive WM papers</x:v>
      </x:c>
      <x:c r="B9" s="43" t="n">
        <x:f>COUNTIFS(Annotations!$I:$I,"Method",Annotations!$S:$S,"Ambiguous")</x:f>
        <x:v>0</x:v>
      </x:c>
      <x:c r="D9" s="52"/>
      <x:c r="E9" s="52"/>
      <x:c r="F9" s="52"/>
      <x:c r="G9" s="52"/>
    </x:row>
    <x:row r="10">
      <x:c r="A10" s="35" t="str">
        <x:v>Method papers with explicit planning</x:v>
      </x:c>
      <x:c r="B10" s="43" t="n">
        <x:f>COUNTIFS(Annotations!$I:$I,"Method",Annotations!$Z:$Z,"Yes")</x:f>
        <x:v>1</x:v>
      </x:c>
      <x:c r="D10" s="52"/>
      <x:c r="E10" s="52"/>
      <x:c r="F10" s="52"/>
      <x:c r="G10" s="52"/>
    </x:row>
    <x:row r="11">
      <x:c r="A11" s="35" t="str">
        <x:v>Long-horizon method papers</x:v>
      </x:c>
      <x:c r="B11" s="43" t="n">
        <x:f>COUNTIFS(Annotations!$I:$I,"Method",Annotations!$P:$P,"Yes")</x:f>
        <x:v>1</x:v>
      </x:c>
      <x:c r="D11" s="52"/>
      <x:c r="E11" s="52"/>
      <x:c r="F11" s="52"/>
      <x:c r="G11" s="52"/>
    </x:row>
    <x:row r="12">
      <x:c r="A12" s="35" t="str">
        <x:v>Long-horizon benchmark papers</x:v>
      </x:c>
      <x:c r="B12" s="43" t="n">
        <x:f>COUNTIFS(Annotations!$I:$I,"Benchmark",Annotations!$P:$P,"Yes")</x:f>
        <x:v>0</x:v>
      </x:c>
    </x:row>
    <x:row r="13">
      <x:c r="A13" s="35" t="str">
        <x:v>Method papers with real-robot evaluation</x:v>
      </x:c>
      <x:c r="B13" s="43" t="n">
        <x:f>COUNTIFS(Annotations!$I:$I,"Method",Annotations!$AQ:$AQ,"Yes")</x:f>
        <x:v>4</x:v>
      </x:c>
    </x:row>
    <x:row r="14">
      <x:c r="A14" s="35" t="str">
        <x:v>High-confidence rows</x:v>
      </x:c>
      <x:c r="B14" s="43" t="n">
        <x:f>COUNTIF(Annotations!$AY:$AY,"High")</x:f>
        <x:v>5</x:v>
      </x:c>
    </x:row>
    <x:row r="17">
      <x:c r="A17" s="48" t="str">
        <x:v>Year</x:v>
      </x:c>
      <x:c r="B17" s="48" t="str">
        <x:v>Methods</x:v>
      </x:c>
      <x:c r="C17" s="48" t="str">
        <x:v>Surveys</x:v>
      </x:c>
      <x:c r="D17" s="48" t="str">
        <x:v>Benchmarks</x:v>
      </x:c>
    </x:row>
    <x:row r="18">
      <x:c r="A18" s="57" t="n">
        <x:v>2019</x:v>
      </x:c>
      <x:c r="B18" s="57" t="n">
        <x:f>COUNTIFS(Annotations!$E:$E,A18,Annotations!$I:$I,"Method")</x:f>
        <x:v>0</x:v>
      </x:c>
      <x:c r="C18" s="57" t="n">
        <x:f>COUNTIFS(Annotations!$E:$E,A18,Annotations!$I:$I,"Survey")</x:f>
        <x:v>0</x:v>
      </x:c>
      <x:c r="D18" s="57" t="n">
        <x:f>COUNTIFS(Annotations!$E:$E,A18,Annotations!$I:$I,"Benchmark")</x:f>
        <x:v>0</x:v>
      </x:c>
    </x:row>
    <x:row r="19">
      <x:c r="A19" s="57" t="n">
        <x:v>2021</x:v>
      </x:c>
      <x:c r="B19" s="57" t="n">
        <x:f>COUNTIFS(Annotations!$E:$E,A19,Annotations!$I:$I,"Method")</x:f>
        <x:v>1</x:v>
      </x:c>
      <x:c r="C19" s="57" t="n">
        <x:f>COUNTIFS(Annotations!$E:$E,A19,Annotations!$I:$I,"Survey")</x:f>
        <x:v>0</x:v>
      </x:c>
      <x:c r="D19" s="57" t="n">
        <x:f>COUNTIFS(Annotations!$E:$E,A19,Annotations!$I:$I,"Benchmark")</x:f>
        <x:v>0</x:v>
      </x:c>
    </x:row>
    <x:row r="20">
      <x:c r="A20" s="57" t="n">
        <x:v>2022</x:v>
      </x:c>
      <x:c r="B20" s="57" t="n">
        <x:f>COUNTIFS(Annotations!$E:$E,A20,Annotations!$I:$I,"Method")</x:f>
        <x:v>0</x:v>
      </x:c>
      <x:c r="C20" s="57" t="n">
        <x:f>COUNTIFS(Annotations!$E:$E,A20,Annotations!$I:$I,"Survey")</x:f>
        <x:v>0</x:v>
      </x:c>
      <x:c r="D20" s="57" t="n">
        <x:f>COUNTIFS(Annotations!$E:$E,A20,Annotations!$I:$I,"Benchmark")</x:f>
        <x:v>0</x:v>
      </x:c>
    </x:row>
    <x:row r="21">
      <x:c r="A21" s="57" t="n">
        <x:v>2023</x:v>
      </x:c>
      <x:c r="B21" s="57" t="n">
        <x:f>COUNTIFS(Annotations!$E:$E,A21,Annotations!$I:$I,"Method")</x:f>
        <x:v>1</x:v>
      </x:c>
      <x:c r="C21" s="57" t="n">
        <x:f>COUNTIFS(Annotations!$E:$E,A21,Annotations!$I:$I,"Survey")</x:f>
        <x:v>0</x:v>
      </x:c>
      <x:c r="D21" s="57" t="n">
        <x:f>COUNTIFS(Annotations!$E:$E,A21,Annotations!$I:$I,"Benchmark")</x:f>
        <x:v>0</x:v>
      </x:c>
    </x:row>
    <x:row r="22">
      <x:c r="A22" s="57" t="n">
        <x:v>2024</x:v>
      </x:c>
      <x:c r="B22" s="57" t="n">
        <x:f>COUNTIFS(Annotations!$E:$E,A22,Annotations!$I:$I,"Method")</x:f>
        <x:v>0</x:v>
      </x:c>
      <x:c r="C22" s="57" t="n">
        <x:f>COUNTIFS(Annotations!$E:$E,A22,Annotations!$I:$I,"Survey")</x:f>
        <x:v>1</x:v>
      </x:c>
      <x:c r="D22" s="57" t="n">
        <x:f>COUNTIFS(Annotations!$E:$E,A22,Annotations!$I:$I,"Benchmark")</x:f>
        <x:v>0</x:v>
      </x:c>
    </x:row>
    <x:row r="23">
      <x:c r="A23" s="57" t="n">
        <x:v>2025</x:v>
      </x:c>
      <x:c r="B23" s="57" t="n">
        <x:f>COUNTIFS(Annotations!$E:$E,A23,Annotations!$I:$I,"Method")</x:f>
        <x:v>1</x:v>
      </x:c>
      <x:c r="C23" s="57" t="n">
        <x:f>COUNTIFS(Annotations!$E:$E,A23,Annotations!$I:$I,"Survey")</x:f>
        <x:v>0</x:v>
      </x:c>
      <x:c r="D23" s="57" t="n">
        <x:f>COUNTIFS(Annotations!$E:$E,A23,Annotations!$I:$I,"Benchmark")</x:f>
        <x:v>0</x:v>
      </x:c>
    </x:row>
    <x:row r="24">
      <x:c r="A24" s="57" t="n">
        <x:v>2026</x:v>
      </x:c>
      <x:c r="B24" s="57" t="n">
        <x:f>COUNTIFS(Annotations!$E:$E,A24,Annotations!$I:$I,"Method")</x:f>
        <x:v>1</x:v>
      </x:c>
      <x:c r="C24" s="57" t="n">
        <x:f>COUNTIFS(Annotations!$E:$E,A24,Annotations!$I:$I,"Survey")</x:f>
        <x:v>0</x:v>
      </x:c>
      <x:c r="D24" s="57" t="n">
        <x:f>COUNTIFS(Annotations!$E:$E,A24,Annotations!$I:$I,"Benchmark")</x:f>
        <x:v>0</x:v>
      </x:c>
    </x:row>
    <x:row r="27">
      <x:c r="A27" s="48" t="str">
        <x:v>World-model status</x:v>
      </x:c>
      <x:c r="B27" s="48" t="str">
        <x:v>Method count</x:v>
      </x:c>
      <x:c r="C27" s="48" t="str">
        <x:v>Interpretation</x:v>
      </x:c>
    </x:row>
    <x:row r="28">
      <x:c r="A28" s="13" t="str">
        <x:v>Yes</x:v>
      </x:c>
      <x:c r="B28" s="13" t="n">
        <x:f>COUNTIFS(Annotations!$I:$I,"Method",Annotations!$S:$S,A28)</x:f>
        <x:v>2</x:v>
      </x:c>
      <x:c r="C28" s="13" t="str">
        <x:v>Strict predictive environment model</x:v>
      </x:c>
    </x:row>
    <x:row r="29">
      <x:c r="A29" s="13" t="str">
        <x:v>Ambiguous</x:v>
      </x:c>
      <x:c r="B29" s="13" t="n">
        <x:f>COUNTIFS(Annotations!$I:$I,"Method",Annotations!$S:$S,A29)</x:f>
        <x:v>0</x:v>
      </x:c>
      <x:c r="C29" s="13" t="str">
        <x:v>World-model terminology without explicit environment prediction</x:v>
      </x:c>
    </x:row>
    <x:row r="30">
      <x:c r="A30" s="13" t="str">
        <x:v>No</x:v>
      </x:c>
      <x:c r="B30" s="13" t="n">
        <x:f>COUNTIFS(Annotations!$I:$I,"Method",Annotations!$S:$S,A30)</x:f>
        <x:v>2</x:v>
      </x:c>
      <x:c r="C30" s="13" t="str">
        <x:v>No learned downstream predictive environment model</x:v>
      </x:c>
    </x:row>
  </x:sheetData>
  <x:mergeCells>
    <x:mergeCell ref="A1:H2"/>
    <x:mergeCell ref="D4:G4"/>
    <x:mergeCell ref="D5:G11"/>
  </x:mergeCells>
  <x:pageMargins left="0.7" right="0.7" top="0.75" bottom="0.75" header="0.3" footer="0.3"/>
  <x:drawing xmlns:r="http://schemas.openxmlformats.org/officeDocument/2006/relationships" r:id="Rf00e7be7f55a45aa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8" hidden="0" customWidth="1"/>
    <x:col min="38" max="38" width="28" hidden="0" customWidth="1"/>
    <x:col min="39" max="39" width="18" hidden="0" customWidth="1"/>
    <x:col min="40" max="40" width="28" hidden="0" customWidth="1"/>
    <x:col min="41" max="41" width="1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18" hidden="0" customWidth="1"/>
    <x:col min="52" max="52" width="34" hidden="0" customWidth="1"/>
    <x:col min="53" max="53" width="28" hidden="0" customWidth="1"/>
  </x:cols>
  <x:sheetData>
    <x:row r="1">
      <x:c r="A1" s="6" t="str">
        <x:v>batch_id</x:v>
      </x:c>
      <x:c r="B1" s="6" t="str">
        <x:v>paper_id</x:v>
      </x:c>
      <x:c r="C1" s="6" t="str">
        <x:v>title</x:v>
      </x:c>
      <x:c r="D1" s="6" t="str">
        <x:v>authors</x:v>
      </x:c>
      <x:c r="E1" s="6" t="str">
        <x:v>year</x:v>
      </x:c>
      <x:c r="F1" s="6" t="str">
        <x:v>year_basis</x:v>
      </x:c>
      <x:c r="G1" s="6" t="str">
        <x:v>venue</x:v>
      </x:c>
      <x:c r="H1" s="6" t="str">
        <x:v>publication_status</x:v>
      </x:c>
      <x:c r="I1" s="6" t="str">
        <x:v>paper_type</x:v>
      </x:c>
      <x:c r="J1" s="6" t="str">
        <x:v>citation_count</x:v>
      </x:c>
      <x:c r="K1" s="6" t="str">
        <x:v>doi_or_identifier</x:v>
      </x:c>
      <x:c r="L1" s="6" t="str">
        <x:v>open_source</x:v>
      </x:c>
      <x:c r="M1" s="6" t="str">
        <x:v>open_source_notes</x:v>
      </x:c>
      <x:c r="N1" s="6" t="str">
        <x:v>task_domain</x:v>
      </x:c>
      <x:c r="O1" s="6" t="str">
        <x:v>primary_problem</x:v>
      </x:c>
      <x:c r="P1" s="6" t="str">
        <x:v>long_horizon</x:v>
      </x:c>
      <x:c r="Q1" s="6" t="str">
        <x:v>language_conditioned</x:v>
      </x:c>
      <x:c r="R1" s="6" t="str">
        <x:v>human_robot_interaction</x:v>
      </x:c>
      <x:c r="S1" s="6" t="str">
        <x:v>uses_world_model</x:v>
      </x:c>
      <x:c r="T1" s="6" t="str">
        <x:v>world_model_family</x:v>
      </x:c>
      <x:c r="U1" s="6" t="str">
        <x:v>world_model_detail</x:v>
      </x:c>
      <x:c r="V1" s="6" t="str">
        <x:v>predictive_space</x:v>
      </x:c>
      <x:c r="W1" s="6" t="str">
        <x:v>prediction_target</x:v>
      </x:c>
      <x:c r="X1" s="6" t="str">
        <x:v>action_conditioned</x:v>
      </x:c>
      <x:c r="Y1" s="6" t="str">
        <x:v>video_prediction</x:v>
      </x:c>
      <x:c r="Z1" s="6" t="str">
        <x:v>uses_planning</x:v>
      </x:c>
      <x:c r="AA1" s="6" t="str">
        <x:v>planning_method</x:v>
      </x:c>
      <x:c r="AB1" s="6" t="str">
        <x:v>planning_representation</x:v>
      </x:c>
      <x:c r="AC1" s="6" t="str">
        <x:v>planning_horizon</x:v>
      </x:c>
      <x:c r="AD1" s="6" t="str">
        <x:v>horizon_basis</x:v>
      </x:c>
      <x:c r="AE1" s="6" t="str">
        <x:v>hierarchical_planning</x:v>
      </x:c>
      <x:c r="AF1" s="6" t="str">
        <x:v>replanning_online</x:v>
      </x:c>
      <x:c r="AG1" s="6" t="str">
        <x:v>planning_role</x:v>
      </x:c>
      <x:c r="AH1" s="6" t="str">
        <x:v>learning_type</x:v>
      </x:c>
      <x:c r="AI1" s="6" t="str">
        <x:v>policy_type</x:v>
      </x:c>
      <x:c r="AJ1" s="6" t="str">
        <x:v>pretraining</x:v>
      </x:c>
      <x:c r="AK1" s="6" t="str">
        <x:v>observation_modality</x:v>
      </x:c>
      <x:c r="AL1" s="6" t="str">
        <x:v>goal_representation</x:v>
      </x:c>
      <x:c r="AM1" s="6" t="str">
        <x:v>action_space</x:v>
      </x:c>
      <x:c r="AN1" s="6" t="str">
        <x:v>benchmark</x:v>
      </x:c>
      <x:c r="AO1" s="6" t="str">
        <x:v>robot_platform</x:v>
      </x:c>
      <x:c r="AP1" s="6" t="str">
        <x:v>simulation</x:v>
      </x:c>
      <x:c r="AQ1" s="6" t="str">
        <x:v>real_robot</x:v>
      </x:c>
      <x:c r="AR1" s="6" t="str">
        <x:v>main_contribution</x:v>
      </x:c>
      <x:c r="AS1" s="6" t="str">
        <x:v>novelty</x:v>
      </x:c>
      <x:c r="AT1" s="6" t="str">
        <x:v>limitations</x:v>
      </x:c>
      <x:c r="AU1" s="6" t="str">
        <x:v>future_work</x:v>
      </x:c>
      <x:c r="AV1" s="6" t="str">
        <x:v>evidence_world_model</x:v>
      </x:c>
      <x:c r="AW1" s="6" t="str">
        <x:v>evidence_planning</x:v>
      </x:c>
      <x:c r="AX1" s="6" t="str">
        <x:v>evidence_horizon</x:v>
      </x:c>
      <x:c r="AY1" s="6" t="str">
        <x:v>confidence</x:v>
      </x:c>
      <x:c r="AZ1" s="6" t="str">
        <x:v>review_flags</x:v>
      </x:c>
      <x:c r="BA1" s="6" t="str">
        <x:v>source_document</x:v>
      </x:c>
    </x:row>
    <x:row r="2">
      <x:c r="A2" s="13" t="str">
        <x:v>batch_06</x:v>
      </x:c>
      <x:c r="B2" s="13" t="str">
        <x:v>B06-001</x:v>
      </x:c>
      <x:c r="C2" s="13" t="str">
        <x:v>Is Sora a World Simulator? A Comprehensive Survey on General World Models and Beyond</x:v>
      </x:c>
      <x:c r="D2" s="13" t="str">
        <x:v>Zheng Zhu; Xiaofeng Wang; Wangbo Zhao; Chen Min; Bohan Li; Nianchen Deng; Min Dou; Yuqi Wang; Botian Shi; Kai Wang; Chi Zhang; Yang You; Zhaoxiang Zhang; Dawei Zhao; Liang Xiao; Jian Zhao; Jiwen Lu; Guan Huang</x:v>
      </x:c>
      <x:c r="E2" s="13" t="n">
        <x:v>2024</x:v>
      </x:c>
      <x:c r="F2" s="13" t="str">
        <x:v>First public appearance: arXiv:2405.03520 in May 2024; supplied revision and IEEE TPAMI manuscript are dated 2025</x:v>
      </x:c>
      <x:c r="G2" s="13" t="str">
        <x:v>IEEE Transactions on Pattern Analysis and Machine Intelligence</x:v>
      </x:c>
      <x:c r="H2" s="13" t="str">
        <x:v>Journal survey manuscript / revised arXiv version</x:v>
      </x:c>
      <x:c r="I2" s="13" t="str">
        <x:v>Survey</x:v>
      </x:c>
      <x:c r="J2" s="13" t="str"/>
      <x:c r="K2" s="13" t="str">
        <x:v>arXiv:2405.03520</x:v>
      </x:c>
      <x:c r="L2" s="13" t="str">
        <x:v>Yes</x:v>
      </x:c>
      <x:c r="M2" s="13" t="str">
        <x:v>The authors maintain a public General World Models Survey repository.</x:v>
      </x:c>
      <x:c r="N2" s="13" t="str">
        <x:v>General AI; Autonomous Driving; Autonomous Agents; Robotics</x:v>
      </x:c>
      <x:c r="O2" s="13" t="str">
        <x:v>Survey; General World Models; Video Generation; Autonomous Agents</x:v>
      </x:c>
      <x:c r="P2" s="13" t="str">
        <x:v>N/A — survey discusses long-term prediction and decision making</x:v>
      </x:c>
      <x:c r="Q2" s="13" t="str">
        <x:v>N/A — multiple conditioning paradigms are reviewed</x:v>
      </x:c>
      <x:c r="R2" s="13" t="str">
        <x:v>N/A</x:v>
      </x:c>
      <x:c r="S2" s="13" t="str">
        <x:v>N/A — survey reviews many world-model families</x:v>
      </x:c>
      <x:c r="T2" s="13" t="str">
        <x:v>N/A — generative video, latent dynamics, JEPA, driving, and agent models reviewed</x:v>
      </x:c>
      <x:c r="U2" s="13" t="str">
        <x:v>Frames general world models as systems that understand environments through future prediction, spanning video generation, driving, games, and robotics.</x:v>
      </x:c>
      <x:c r="V2" s="13" t="str">
        <x:v>N/A</x:v>
      </x:c>
      <x:c r="W2" s="13" t="str">
        <x:v>N/A</x:v>
      </x:c>
      <x:c r="X2" s="13" t="str">
        <x:v>N/A</x:v>
      </x:c>
      <x:c r="Y2" s="13" t="str">
        <x:v>N/A</x:v>
      </x:c>
      <x:c r="Z2" s="13" t="str">
        <x:v>N/A — multiple planning and policy-learning systems are reviewed</x:v>
      </x:c>
      <x:c r="AA2" s="13" t="str">
        <x:v>N/A</x:v>
      </x:c>
      <x:c r="AB2" s="13" t="str">
        <x:v>N/A</x:v>
      </x:c>
      <x:c r="AC2" s="13" t="str">
        <x:v>N/A</x:v>
      </x:c>
      <x:c r="AD2" s="13" t="str">
        <x:v>The survey covers predictive decision making over multiple horizons but does not propose one planner.</x:v>
      </x:c>
      <x:c r="AE2" s="13" t="str">
        <x:v>N/A</x:v>
      </x:c>
      <x:c r="AF2" s="13" t="str">
        <x:v>N/A</x:v>
      </x:c>
      <x:c r="AG2" s="13" t="str">
        <x:v>N/A</x:v>
      </x:c>
      <x:c r="AH2" s="13" t="str">
        <x:v>N/A</x:v>
      </x:c>
      <x:c r="AI2" s="13" t="str">
        <x:v>N/A</x:v>
      </x:c>
      <x:c r="AJ2" s="13" t="str">
        <x:v>N/A</x:v>
      </x:c>
      <x:c r="AK2" s="13" t="str">
        <x:v>Multiple: video; text; driving sensors; agent observations</x:v>
      </x:c>
      <x:c r="AL2" s="13" t="str">
        <x:v>Multiple</x:v>
      </x:c>
      <x:c r="AM2" s="13" t="str">
        <x:v>Multiple</x:v>
      </x:c>
      <x:c r="AN2" s="13" t="str">
        <x:v>Multiple video-generation, autonomous-driving, game, and robotics benchmarks</x:v>
      </x:c>
      <x:c r="AO2" s="13" t="str">
        <x:v>Multiple</x:v>
      </x:c>
      <x:c r="AP2" s="13" t="str">
        <x:v>Both / Survey</x:v>
      </x:c>
      <x:c r="AQ2" s="13" t="str">
        <x:v>Both / Survey</x:v>
      </x:c>
      <x:c r="AR2" s="13" t="str">
        <x:v>Provides a broad taxonomy and review of general world models across video generation, autonomous driving, and autonomous agents.</x:v>
      </x:c>
      <x:c r="AS2" s="13" t="str">
        <x:v>Connects generative video modeling to downstream decision systems and explicitly evaluates whether high-fidelity video generators constitute world simulators.</x:v>
      </x:c>
      <x:c r="AT2" s="13" t="str">
        <x:v>Current world models remain weak in causal and counterfactual reasoning, physical consistency, action controllability, long-term coherence, data coverage, scalability, evaluation, and safety.</x:v>
      </x:c>
      <x:c r="AU2" s="13" t="str">
        <x:v>Advance causal reasoning, controllable and interactive generation, multimodal and 3D consistency, real-world simulators, stronger evaluation, scalable data, and safe autonomous-agent deployment.</x:v>
      </x:c>
      <x:c r="AV2" s="13" t="str">
        <x:v>The survey defines general world models through future prediction and reviews generative, latent, driving, and autonomous-agent approaches.</x:v>
      </x:c>
      <x:c r="AW2" s="13" t="str">
        <x:v>Planning and policy learning are reviewed as downstream uses of predicted futures rather than as one implemented system.</x:v>
      </x:c>
      <x:c r="AX2" s="13" t="str">
        <x:v>Long-term dependency and multi-step decision making are identified as open field-level challenges.</x:v>
      </x:c>
      <x:c r="AY2" s="13" t="str">
        <x:v>High</x:v>
      </x:c>
      <x:c r="AZ2" s="13" t="str">
        <x:v>Exclude from method-only architecture and performance counts; retain for broad taxonomy, definitions, and challenge analysis.</x:v>
      </x:c>
      <x:c r="BA2" s="13" t="str">
        <x:v>Is Sora a World Simulator_ A Comprehensive Survey on General World Models and Beyond.txt</x:v>
      </x:c>
    </x:row>
    <x:row r="3">
      <x:c r="A3" s="13" t="str">
        <x:v>batch_06</x:v>
      </x:c>
      <x:c r="B3" s="13" t="str">
        <x:v>B06-002</x:v>
      </x:c>
      <x:c r="C3" s="13" t="str">
        <x:v>JEPA-VLA: Video Predictive Embedding is Needed for VLA Models</x:v>
      </x:c>
      <x:c r="D3" s="13" t="str">
        <x:v>Shangchen Miao; Ningya Feng; Jialong Wu; Ye Lin; Xu He; Dong Li; Mingsheng Long</x:v>
      </x:c>
      <x:c r="E3" s="13" t="n">
        <x:v>2026</x:v>
      </x:c>
      <x:c r="F3" s="13" t="str">
        <x:v>First public appearance: arXiv:2602.11832 on 12 Feb 2026</x:v>
      </x:c>
      <x:c r="G3" s="13" t="str">
        <x:v>arXiv</x:v>
      </x:c>
      <x:c r="H3" s="13" t="str">
        <x:v>Preprint</x:v>
      </x:c>
      <x:c r="I3" s="13" t="str">
        <x:v>Method</x:v>
      </x:c>
      <x:c r="J3" s="13" t="str"/>
      <x:c r="K3" s="13" t="str">
        <x:v>arXiv:2602.11832</x:v>
      </x:c>
      <x:c r="L3" s="13" t="str">
        <x:v>Unknown</x:v>
      </x:c>
      <x:c r="M3" s="13" t="str">
        <x:v>No companion code repository was identified in the supplied manuscript.</x:v>
      </x:c>
      <x:c r="N3" s="13" t="str">
        <x:v>Manipulation; Vision-Language-Action Control</x:v>
      </x:c>
      <x:c r="O3" s="13" t="str">
        <x:v>Policy Learning; Representation Transfer; Generalization</x:v>
      </x:c>
      <x:c r="P3" s="13" t="str">
        <x:v>Yes</x:v>
      </x:c>
      <x:c r="Q3" s="13" t="str">
        <x:v>Yes</x:v>
      </x:c>
      <x:c r="R3" s="13" t="str">
        <x:v>No</x:v>
      </x:c>
      <x:c r="S3" s="13" t="str">
        <x:v>No</x:v>
      </x:c>
      <x:c r="T3" s="13" t="str">
        <x:v>None</x:v>
      </x:c>
      <x:c r="U3" s="13" t="str">
        <x:v>Uses frozen V-JEPA 2 video-predictive embeddings as additional VLA features, but the downstream method does not learn or roll out environment dynamics.</x:v>
      </x:c>
      <x:c r="V3" s="13" t="str">
        <x:v>N/A</x:v>
      </x:c>
      <x:c r="W3" s="13" t="str">
        <x:v>Future action chunk</x:v>
      </x:c>
      <x:c r="X3" s="13" t="str">
        <x:v>No</x:v>
      </x:c>
      <x:c r="Y3" s="13" t="str">
        <x:v>No — V-JEPA 2 was pretrained predictively, but JEPA-VLA itself performs action prediction</x:v>
      </x:c>
      <x:c r="Z3" s="13" t="str">
        <x:v>No</x:v>
      </x:c>
      <x:c r="AA3" s="13" t="str">
        <x:v>None — direct VLA action generation</x:v>
      </x:c>
      <x:c r="AB3" s="13" t="str">
        <x:v>N/A</x:v>
      </x:c>
      <x:c r="AC3" s="13" t="str">
        <x:v>None</x:v>
      </x:c>
      <x:c r="AD3" s="13" t="str">
        <x:v>The model generates action chunks and is evaluated on LIBERO Long tasks, but it does not implement search, MPC, or task decomposition.</x:v>
      </x:c>
      <x:c r="AE3" s="13" t="str">
        <x:v>No</x:v>
      </x:c>
      <x:c r="AF3" s="13" t="str">
        <x:v>Yes — action chunks are regenerated from current observations and recent frames</x:v>
      </x:c>
      <x:c r="AG3" s="13" t="str">
        <x:v>Local Controller</x:v>
      </x:c>
      <x:c r="AH3" s="13" t="str">
        <x:v>Imitation Learning; Vision-Language Pretraining; Predictive Representation Transfer</x:v>
      </x:c>
      <x:c r="AI3" s="13" t="str">
        <x:v>VLA; linear or OpenVLA-OFT action head</x:v>
      </x:c>
      <x:c r="AJ3" s="13" t="str">
        <x:v>Yes — frozen V-JEPA 2 and pretrained VLM/VLA backbones</x:v>
      </x:c>
      <x:c r="AK3" s="13" t="str">
        <x:v>Language; current multi-view RGB; two-frame video history; proprioception</x:v>
      </x:c>
      <x:c r="AL3" s="13" t="str">
        <x:v>Natural-language instruction</x:v>
      </x:c>
      <x:c r="AM3" s="13" t="str">
        <x:v>Discrete action tokens or continuous action chunks, depending on the base VLA</x:v>
      </x:c>
      <x:c r="AN3" s="13" t="str">
        <x:v>LIBERO; LIBERO-plus; RoboTwin2.0; CortexBench; custom real-world pick-and-place</x:v>
      </x:c>
      <x:c r="AO3" s="13" t="str">
        <x:v>Aloha-AgileX dual-arm simulation; Piper single-arm real robot; benchmark-specific simulated manipulators</x:v>
      </x:c>
      <x:c r="AP3" s="13" t="str">
        <x:v>Yes</x:v>
      </x:c>
      <x:c r="AQ3" s="13" t="str">
        <x:v>Yes</x:v>
      </x:c>
      <x:c r="AR3" s="13" t="str">
        <x:v>Shows that video-predictive V-JEPA 2 features provide task-relevant state information and policy priors that improve VLA sample efficiency and generalization.</x:v>
      </x:c>
      <x:c r="AS3" s="13" t="str">
        <x:v>Introduces early-fusion and gated cross-attention mechanisms for adding predictive video embeddings to both lightly trained and large-scale pretrained VLAs.</x:v>
      </x:c>
      <x:c r="AT3" s="13" t="str">
        <x:v>The method uses a simple two-frame predictive representation, evaluates only one real-world task, and does not learn a task-specific dynamics model or explicit planner.</x:v>
      </x:c>
      <x:c r="AU3" s="13" t="str">
        <x:v>Develop more principled fusion mechanisms and further exploit large-scale video-predictive pretraining for robust, generalizable embodied policies.</x:v>
      </x:c>
      <x:c r="AV3" s="13" t="str">
        <x:v>A frozen V-JEPA 2 encoder supplies predictive features, while the trained downstream model directly outputs actions rather than future environment states.</x:v>
      </x:c>
      <x:c r="AW3" s="13" t="str">
        <x:v>No model rollout or candidate action evaluation is described; predictive embeddings condition a standard VLA action model.</x:v>
      </x:c>
      <x:c r="AX3" s="13" t="str">
        <x:v>LIBERO Long performance is reported, but the method remains a chunked reactive policy rather than a long-horizon planner.</x:v>
      </x:c>
      <x:c r="AY3" s="13" t="str">
        <x:v>High</x:v>
      </x:c>
      <x:c r="AZ3" s="13" t="str">
        <x:v>JEPA-related representation-transfer paper, not a downstream JEPA world model. Include in long-horizon task evaluation but exclude from explicit-planner and world-model counts.</x:v>
      </x:c>
      <x:c r="BA3" s="13" t="str">
        <x:v>JEPA-VLA_ Video Predictive Embedding is Needed for VLA Models.txt</x:v>
      </x:c>
    </x:row>
    <x:row r="4">
      <x:c r="A4" s="13" t="str">
        <x:v>batch_06</x:v>
      </x:c>
      <x:c r="B4" s="13" t="str">
        <x:v>B06-003</x:v>
      </x:c>
      <x:c r="C4" s="13" t="str">
        <x:v>Learning Fine-Grained Bimanual Manipulation with Low-Cost Hardware</x:v>
      </x:c>
      <x:c r="D4" s="13" t="str">
        <x:v>Tony Z. Zhao; Vikash Kumar; Sergey Levine; Chelsea Finn</x:v>
      </x:c>
      <x:c r="E4" s="13" t="n">
        <x:v>2023</x:v>
      </x:c>
      <x:c r="F4" s="13" t="str">
        <x:v>Published at Robotics: Science and Systems 2023; an earlier public preprint date was not established from the supplied manuscript</x:v>
      </x:c>
      <x:c r="G4" s="13" t="str">
        <x:v>Robotics: Science and Systems (RSS)</x:v>
      </x:c>
      <x:c r="H4" s="13" t="str">
        <x:v>Peer-reviewed conference article</x:v>
      </x:c>
      <x:c r="I4" s="13" t="str">
        <x:v>Method</x:v>
      </x:c>
      <x:c r="J4" s="13" t="str"/>
      <x:c r="K4" s="13" t="str">
        <x:v>RSS 2023</x:v>
      </x:c>
      <x:c r="L4" s="13" t="str">
        <x:v>Yes</x:v>
      </x:c>
      <x:c r="M4" s="13" t="str">
        <x:v>ALOHA hardware designs, code, datasets, and project materials are publicly released.</x:v>
      </x:c>
      <x:c r="N4" s="13" t="str">
        <x:v>Fine-Grained Bimanual Manipulation</x:v>
      </x:c>
      <x:c r="O4" s="13" t="str">
        <x:v>Imitation Learning; Teleoperation; Action Chunking</x:v>
      </x:c>
      <x:c r="P4" s="13" t="str">
        <x:v>No</x:v>
      </x:c>
      <x:c r="Q4" s="13" t="str">
        <x:v>No</x:v>
      </x:c>
      <x:c r="R4" s="13" t="str">
        <x:v>No</x:v>
      </x:c>
      <x:c r="S4" s="13" t="str">
        <x:v>No</x:v>
      </x:c>
      <x:c r="T4" s="13" t="str">
        <x:v>None</x:v>
      </x:c>
      <x:c r="U4" s="13" t="str">
        <x:v>N/A — ACT directly maps visual and proprioceptive observations to future joint-action chunks.</x:v>
      </x:c>
      <x:c r="V4" s="13" t="str">
        <x:v>N/A</x:v>
      </x:c>
      <x:c r="W4" s="13" t="str">
        <x:v>Future sequence of absolute bimanual joint positions</x:v>
      </x:c>
      <x:c r="X4" s="13" t="str">
        <x:v>No</x:v>
      </x:c>
      <x:c r="Y4" s="13" t="str">
        <x:v>No</x:v>
      </x:c>
      <x:c r="Z4" s="13" t="str">
        <x:v>No</x:v>
      </x:c>
      <x:c r="AA4" s="13" t="str">
        <x:v>None — closed-loop action-chunk policy</x:v>
      </x:c>
      <x:c r="AB4" s="13" t="str">
        <x:v>N/A</x:v>
      </x:c>
      <x:c r="AC4" s="13" t="str">
        <x:v>None</x:v>
      </x:c>
      <x:c r="AD4" s="13" t="str">
        <x:v>ACT predicts overlapping action chunks to reduce effective trajectory length, but performs no search or model-based planning.</x:v>
      </x:c>
      <x:c r="AE4" s="13" t="str">
        <x:v>No</x:v>
      </x:c>
      <x:c r="AF4" s="13" t="str">
        <x:v>Yes — the policy is queried every timestep and temporally ensembles overlapping chunks</x:v>
      </x:c>
      <x:c r="AG4" s="13" t="str">
        <x:v>Local Controller</x:v>
      </x:c>
      <x:c r="AH4" s="13" t="str">
        <x:v>Imitation Learning; Conditional Variational Autoencoder</x:v>
      </x:c>
      <x:c r="AI4" s="13" t="str">
        <x:v>Action Chunking with Transformers (ACT)</x:v>
      </x:c>
      <x:c r="AJ4" s="13" t="str">
        <x:v>Yes — ResNet-18 visual backbones; policy trained from task demonstrations</x:v>
      </x:c>
      <x:c r="AK4" s="13" t="str">
        <x:v>Four RGB cameras; 14-DoF bimanual joint positions</x:v>
      </x:c>
      <x:c r="AL4" s="13" t="str">
        <x:v>Implicit task goal from task-specific demonstrations</x:v>
      </x:c>
      <x:c r="AM4" s="13" t="str">
        <x:v>Continuous 14-dimensional absolute joint-position commands</x:v>
      </x:c>
      <x:c r="AN4" s="13" t="str">
        <x:v>Two simulated bimanual tasks and six real-world ALOHA tasks, including Ziploc opening, battery insertion, cup opening, Velcro threading, tape preparation, and shoe placement</x:v>
      </x:c>
      <x:c r="AO4" s="13" t="str">
        <x:v>ALOHA: two ViperX follower arms with WidowX leader arms for teleoperation</x:v>
      </x:c>
      <x:c r="AP4" s="13" t="str">
        <x:v>Yes</x:v>
      </x:c>
      <x:c r="AQ4" s="13" t="str">
        <x:v>Yes</x:v>
      </x:c>
      <x:c r="AR4" s="13" t="str">
        <x:v>Introduces the low-cost ALOHA bimanual teleoperation platform and ACT, a transformer CVAE that predicts temporally ensembled action chunks.</x:v>
      </x:c>
      <x:c r="AS4" s="13" t="str">
        <x:v>Reduces imitation-learning compounding errors by predicting long action chunks while retaining closed-loop responsiveness through overlapping temporal ensembling.</x:v>
      </x:c>
      <x:c r="AT4" s="13" t="str">
        <x:v>Parallel-jaw grippers cannot perform many multi-finger or fingernail-dependent tasks, low-cost motors limit force, and ACT struggles with visually ambiguous deformable-object stages and unseen recovery states.</x:v>
      </x:c>
      <x:c r="AU4" s="13" t="str">
        <x:v>Not explicitly stated; the limitations motivate stronger hardware, richer sensing, more diverse data, and improved recovery and deformable-object learning.</x:v>
      </x:c>
      <x:c r="AV4" s="13" t="str">
        <x:v>The paper explicitly favors a learned closed-loop policy over modeling complex contact and deformation dynamics.</x:v>
      </x:c>
      <x:c r="AW4" s="13" t="str">
        <x:v>ACT directly generates k-step joint commands and averages overlapping predictions; it does not evaluate candidate trajectories through a model.</x:v>
      </x:c>
      <x:c r="AX4" s="13" t="str">
        <x:v>Real demonstrations span roughly 400–700 control steps, but each benchmark is an individual fine-manipulation skill rather than task-level long-horizon planning.</x:v>
      </x:c>
      <x:c r="AY4" s="13" t="str">
        <x:v>High</x:v>
      </x:c>
      <x:c r="AZ4" s="13" t="str">
        <x:v>Important action-chunking and hardware baseline; exclude from world-model and explicit-planning counts.</x:v>
      </x:c>
      <x:c r="BA4" s="13" t="str">
        <x:v>Learning Fine-Grained Bimanual Manipulation with Low-Cost Hardware.txt</x:v>
      </x:c>
    </x:row>
    <x:row r="5">
      <x:c r="A5" s="13" t="str">
        <x:v>batch_06</x:v>
      </x:c>
      <x:c r="B5" s="13" t="str">
        <x:v>B06-004</x:v>
      </x:c>
      <x:c r="C5" s="13" t="str">
        <x:v>Learning Latent Graph Dynamics for Visual Manipulation of Deformable Objects</x:v>
      </x:c>
      <x:c r="D5" s="13" t="str">
        <x:v>Xiao Ma; David Hsu; Wee Sun Lee</x:v>
      </x:c>
      <x:c r="E5" s="13" t="n">
        <x:v>2021</x:v>
      </x:c>
      <x:c r="F5" s="13" t="str">
        <x:v>First public appearance: arXiv:2104.12149 in April 2021; supplied revision dated 5 Mar 2022</x:v>
      </x:c>
      <x:c r="G5" s="13" t="str">
        <x:v>arXiv</x:v>
      </x:c>
      <x:c r="H5" s="13" t="str">
        <x:v>Preprint</x:v>
      </x:c>
      <x:c r="I5" s="13" t="str">
        <x:v>Method</x:v>
      </x:c>
      <x:c r="J5" s="13" t="str"/>
      <x:c r="K5" s="13" t="str">
        <x:v>arXiv:2104.12149</x:v>
      </x:c>
      <x:c r="L5" s="13" t="str">
        <x:v>Unknown</x:v>
      </x:c>
      <x:c r="M5" s="13" t="str">
        <x:v>A demonstration video is provided, but no code repository was identified in the supplied manuscript.</x:v>
      </x:c>
      <x:c r="N5" s="13" t="str">
        <x:v>Deformable Object Manipulation</x:v>
      </x:c>
      <x:c r="O5" s="13" t="str">
        <x:v>World Modeling; Planning; Deformable-Object Control</x:v>
      </x:c>
      <x:c r="P5" s="13" t="str">
        <x:v>No</x:v>
      </x:c>
      <x:c r="Q5" s="13" t="str">
        <x:v>No</x:v>
      </x:c>
      <x:c r="R5" s="13" t="str">
        <x:v>No</x:v>
      </x:c>
      <x:c r="S5" s="13" t="str">
        <x:v>Yes</x:v>
      </x:c>
      <x:c r="T5" s="13" t="str">
        <x:v>Object-Centric</x:v>
      </x:c>
      <x:c r="U5" s="13" t="str">
        <x:v>G-DOOM learns recurrent graph dynamics over unsupervised visual keypoints and tracks a history-dependent belief to handle self-occlusion.</x:v>
      </x:c>
      <x:c r="V5" s="13" t="str">
        <x:v>Object / Graph Latent</x:v>
      </x:c>
      <x:c r="W5" s="13" t="str">
        <x:v>Future keypoint features, recurrent belief state, and manipulation reward</x:v>
      </x:c>
      <x:c r="X5" s="13" t="str">
        <x:v>Yes</x:v>
      </x:c>
      <x:c r="Y5" s="13" t="str">
        <x:v>No</x:v>
      </x:c>
      <x:c r="Z5" s="13" t="str">
        <x:v>Yes</x:v>
      </x:c>
      <x:c r="AA5" s="13" t="str">
        <x:v>MPC; Graph-Guided CEM</x:v>
      </x:c>
      <x:c r="AB5" s="13" t="str">
        <x:v>Object-centric graph latent</x:v>
      </x:c>
      <x:c r="AC5" s="13" t="str">
        <x:v>Medium</x:v>
      </x:c>
      <x:c r="AD5" s="13" t="str">
        <x:v>Evaluation permits action sequences of up to 20 steps and repeatedly applies graph-based MPC.</x:v>
      </x:c>
      <x:c r="AE5" s="13" t="str">
        <x:v>No</x:v>
      </x:c>
      <x:c r="AF5" s="13" t="str">
        <x:v>Yes</x:v>
      </x:c>
      <x:c r="AG5" s="13" t="str">
        <x:v>Full End-to-End Planner</x:v>
      </x:c>
      <x:c r="AH5" s="13" t="str">
        <x:v>Self-Supervised Representation Learning; Contrastive Dynamics Learning</x:v>
      </x:c>
      <x:c r="AI5" s="13" t="str">
        <x:v>None — actions selected through MPC</x:v>
      </x:c>
      <x:c r="AJ5" s="13" t="str">
        <x:v>Yes — unsupervised Transporter keypoint extractor before graph-dynamics training</x:v>
      </x:c>
      <x:c r="AK5" s="13" t="str">
        <x:v>Top-down masked depth images</x:v>
      </x:c>
      <x:c r="AL5" s="13" t="str">
        <x:v>Goal image or learned reward objective</x:v>
      </x:c>
      <x:c r="AM5" s="13" t="str">
        <x:v>Continuous planar keypoint-centered manipulation actions</x:v>
      </x:c>
      <x:c r="AN5" s="13" t="str">
        <x:v>Rope straightening; cloth flattening; cloth folding in Nvidia Flex / SoftGym</x:v>
      </x:c>
      <x:c r="AO5" s="13" t="str">
        <x:v>Kinova Gen3 with Robotiq gripper and Kinect 2.0 depth camera</x:v>
      </x:c>
      <x:c r="AP5" s="13" t="str">
        <x:v>Yes</x:v>
      </x:c>
      <x:c r="AQ5" s="13" t="str">
        <x:v>Yes</x:v>
      </x:c>
      <x:c r="AR5" s="13" t="str">
        <x:v>Learns a sparse recurrent graph world model over visual keypoints and uses it for real-time MPC on rope and cloth manipulation.</x:v>
      </x:c>
      <x:c r="AS5" s="13" t="str">
        <x:v>Combines unsupervised keypoint discovery, recurrent graph belief tracking, contrastive dynamics learning, and keypoint-guided CEM search.</x:v>
      </x:c>
      <x:c r="AT5" s="13" t="str">
        <x:v>The evaluated dynamics are relatively smooth and simple; harder tasks such as knot tying or complex garment folding require larger datasets, stronger dynamics models, and longer-horizon planning.</x:v>
      </x:c>
      <x:c r="AU5" s="13" t="str">
        <x:v>Scale dynamics learning and planning to complex deformable-object tasks requiring richer data and long-horizon reasoning.</x:v>
      </x:c>
      <x:c r="AV5" s="13" t="str">
        <x:v>An action-conditioned recurrent GNN predicts the evolution of a sparse keypoint-based object representation.</x:v>
      </x:c>
      <x:c r="AW5" s="13" t="str">
        <x:v>Graph-based MPC initializes candidate action sequences around detected keypoints and selects actions using predicted cumulative reward.</x:v>
      </x:c>
      <x:c r="AX5" s="13" t="str">
        <x:v>The maximum evaluation sequence is 20 steps, which is medium under the dataset rule and not task-level long-horizon planning.</x:v>
      </x:c>
      <x:c r="AY5" s="13" t="str">
        <x:v>High</x:v>
      </x:c>
      <x:c r="AZ5" s="13" t="str">
        <x:v>Core structured latent world-model and MPC paper; useful for object-centric and deformable-manipulation analyses.</x:v>
      </x:c>
      <x:c r="BA5" s="13" t="str">
        <x:v>Learning Latent Graph Dynamics for Deformable Object Manipulation..txt</x:v>
      </x:c>
    </x:row>
    <x:row r="6">
      <x:c r="A6" s="13" t="str">
        <x:v>batch_06</x:v>
      </x:c>
      <x:c r="B6" s="13" t="str">
        <x:v>B06-005</x:v>
      </x:c>
      <x:c r="C6" s="13" t="str">
        <x:v>Learning Robot Manipulation from Audio World Models</x:v>
      </x:c>
      <x:c r="D6" s="13" t="str">
        <x:v>Fan Zhang; Michael Gienger</x:v>
      </x:c>
      <x:c r="E6" s="13" t="n">
        <x:v>2025</x:v>
      </x:c>
      <x:c r="F6" s="13" t="str">
        <x:v>First public appearance: arXiv:2512.08405 on 9 Dec 2025</x:v>
      </x:c>
      <x:c r="G6" s="13" t="str">
        <x:v>arXiv</x:v>
      </x:c>
      <x:c r="H6" s="13" t="str">
        <x:v>Preprint</x:v>
      </x:c>
      <x:c r="I6" s="13" t="str">
        <x:v>Method</x:v>
      </x:c>
      <x:c r="J6" s="13" t="str"/>
      <x:c r="K6" s="13" t="str">
        <x:v>arXiv:2512.08405</x:v>
      </x:c>
      <x:c r="L6" s="13" t="str">
        <x:v>Unknown</x:v>
      </x:c>
      <x:c r="M6" s="13" t="str">
        <x:v>No code or project repository was identified in the supplied manuscript.</x:v>
      </x:c>
      <x:c r="N6" s="13" t="str">
        <x:v>Manipulation; Audio-Visual Robot Learning; Dexterous Control</x:v>
      </x:c>
      <x:c r="O6" s="13" t="str">
        <x:v>World Modeling; Policy Learning; Multimodal Prediction</x:v>
      </x:c>
      <x:c r="P6" s="13" t="str">
        <x:v>No</x:v>
      </x:c>
      <x:c r="Q6" s="13" t="str">
        <x:v>No</x:v>
      </x:c>
      <x:c r="R6" s="13" t="str">
        <x:v>No</x:v>
      </x:c>
      <x:c r="S6" s="13" t="str">
        <x:v>Yes</x:v>
      </x:c>
      <x:c r="T6" s="13" t="str">
        <x:v>Diffusion</x:v>
      </x:c>
      <x:c r="U6" s="13" t="str">
        <x:v>A transformer latent flow-matching model predicts future audio spectrogram or MIDI representations, which are decoded and supplied to a separate robot policy.</x:v>
      </x:c>
      <x:c r="V6" s="13" t="str">
        <x:v>Latent Audio</x:v>
      </x:c>
      <x:c r="W6" s="13" t="str">
        <x:v>Future spectrogram or MIDI sequence</x:v>
      </x:c>
      <x:c r="X6" s="13" t="str">
        <x:v>No</x:v>
      </x:c>
      <x:c r="Y6" s="13" t="str">
        <x:v>No</x:v>
      </x:c>
      <x:c r="Z6" s="13" t="str">
        <x:v>No</x:v>
      </x:c>
      <x:c r="AA6" s="13" t="str">
        <x:v>None — predicted audio is used as lookahead context for a direct policy</x:v>
      </x:c>
      <x:c r="AB6" s="13" t="str">
        <x:v>N/A</x:v>
      </x:c>
      <x:c r="AC6" s="13" t="str">
        <x:v>None</x:v>
      </x:c>
      <x:c r="AD6" s="13" t="str">
        <x:v>The world model predicts approximately 2.56 seconds of audio for water filling or 8 seconds of MIDI, while the downstream policies directly output actions.</x:v>
      </x:c>
      <x:c r="AE6" s="13" t="str">
        <x:v>No</x:v>
      </x:c>
      <x:c r="AF6" s="13" t="str">
        <x:v>Yes — water-filling predictions and actions are refreshed in closed loop; music is extended autoregressively</x:v>
      </x:c>
      <x:c r="AG6" s="13" t="str">
        <x:v>Local Controller</x:v>
      </x:c>
      <x:c r="AH6" s="13" t="str">
        <x:v>Generative Flow Matching; Imitation Learning; Reinforcement Learning</x:v>
      </x:c>
      <x:c r="AI6" s="13" t="str">
        <x:v>Flow-Matching Manipulation Policy; Soft Actor-Critic for piano playing</x:v>
      </x:c>
      <x:c r="AJ6" s="13" t="str">
        <x:v>Yes — AudioMAE or MusicVAE audio representations</x:v>
      </x:c>
      <x:c r="AK6" s="13" t="str">
        <x:v>Audio spectrogram or MIDI; RGB image for water filling</x:v>
      </x:c>
      <x:c r="AL6" s="13" t="str">
        <x:v>Predicted future audio dynamics or generated future note goals</x:v>
      </x:c>
      <x:c r="AM6" s="13" t="str">
        <x:v>Continuous 6-DoF end-effector velocity chunks; simulated piano joint actions</x:v>
      </x:c>
      <x:c r="AN6" s="13" t="str">
        <x:v>Custom real-world water filling; RoboPianist-style simulated piano duet on two songs</x:v>
      </x:c>
      <x:c r="AO6" s="13" t="str">
        <x:v>Kinova Gen3 real robot; simulated piano-playing dexterous agent</x:v>
      </x:c>
      <x:c r="AP6" s="13" t="str">
        <x:v>Yes</x:v>
      </x:c>
      <x:c r="AQ6" s="13" t="str">
        <x:v>Yes</x:v>
      </x:c>
      <x:c r="AR6" s="13" t="str">
        <x:v>Introduces an audio world model that predicts physically informative future sound and uses those predictions to improve robot policies when vision is ambiguous.</x:v>
      </x:c>
      <x:c r="AS6" s="13" t="str">
        <x:v>Treats pitch and rhythm as predictable environment dynamics rather than merely adding audio as an auxiliary current observation.</x:v>
      </x:c>
      <x:c r="AT6" s="13" t="str">
        <x:v>The evaluation contains only two specialized tasks, the audio world model is action-free, and generated futures guide a policy without explicit counterfactual action evaluation.</x:v>
      </x:c>
      <x:c r="AU6" s="13" t="str">
        <x:v>Extend audio world modeling to more complex, fine-grained, and dexterous manipulation tasks.</x:v>
      </x:c>
      <x:c r="AV6" s="13" t="str">
        <x:v>Latent flow matching predicts future audio states that encode filling progress or upcoming musical structure.</x:v>
      </x:c>
      <x:c r="AW6" s="13" t="str">
        <x:v>The predicted audio is concatenated into a flow-matching or SAC policy; no candidate action search or world-model-conditioned MPC is used.</x:v>
      </x:c>
      <x:c r="AX6" s="13" t="str">
        <x:v>Future audio spans seconds, but the tasks are individual skills and the action policy horizon is 16 steps rather than task-level long-horizon planning.</x:v>
      </x:c>
      <x:c r="AY6" s="13" t="str">
        <x:v>High</x:v>
      </x:c>
      <x:c r="AZ6" s="13" t="str">
        <x:v>Core multimodal world-model paper, but exclude from explicit-planner counts because the model supplies predictive context to a direct policy.</x:v>
      </x:c>
      <x:c r="BA6" s="13" t="str">
        <x:v>Learning Robot Manipulation from Audio World Models.txt</x:v>
      </x:c>
    </x:row>
  </x:sheetData>
  <x:pageMargins left="0.7" right="0.7" top="0.75" bottom="0.75" header="0.3" footer="0.3"/>
  <x:tableParts count="1">
    <x:tablePart xmlns:r="http://schemas.openxmlformats.org/officeDocument/2006/relationships" r:id="R42bc0e9479f74c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50" hidden="0" customWidth="1"/>
    <x:col min="4" max="4" width="54" hidden="0" customWidth="1"/>
  </x:cols>
  <x:sheetData>
    <x:row r="1">
      <x:c r="A1" s="20" t="str">
        <x:v>Field</x:v>
      </x:c>
      <x:c r="B1" s="20" t="str">
        <x:v>Definition</x:v>
      </x:c>
      <x:c r="C1" s="20" t="str">
        <x:v>Allowed / normalized values</x:v>
      </x:c>
      <x:c r="D1" s="20" t="str">
        <x:v>Annotation rule</x:v>
      </x:c>
    </x:row>
    <x:row r="2">
      <x:c r="A2" s="13" t="str">
        <x:v>batch_id</x:v>
      </x:c>
      <x:c r="B2" s="13" t="str">
        <x:v>Annotation batch identifier</x:v>
      </x:c>
      <x:c r="C2" s="13" t="str">
        <x:v>batch_01; batch_02; …</x:v>
      </x:c>
      <x:c r="D2" s="13" t="str">
        <x:v>Used for provenance and rollback.</x:v>
      </x:c>
    </x:row>
    <x:row r="3">
      <x:c r="A3" s="13" t="str">
        <x:v>paper_id</x:v>
      </x:c>
      <x:c r="B3" s="13" t="str">
        <x:v>Stable internal identifier</x:v>
      </x:c>
      <x:c r="C3" s="13" t="str">
        <x:v>String</x:v>
      </x:c>
      <x:c r="D3" s="13" t="str">
        <x:v>Unique across all batches.</x:v>
      </x:c>
    </x:row>
    <x:row r="4">
      <x:c r="A4" s="13" t="str">
        <x:v>year</x:v>
      </x:c>
      <x:c r="B4" s="13" t="str">
        <x:v>First public appearance year</x:v>
      </x:c>
      <x:c r="C4" s="13" t="str">
        <x:v>Integer</x:v>
      </x:c>
      <x:c r="D4" s="13" t="str">
        <x:v>Use first public preprint or online-publication year; preserve later venue year in year_basis.</x:v>
      </x:c>
    </x:row>
    <x:row r="5">
      <x:c r="A5" s="13" t="str">
        <x:v>paper_type</x:v>
      </x:c>
      <x:c r="B5" s="13" t="str">
        <x:v>Nature of the paper</x:v>
      </x:c>
      <x:c r="C5" s="13" t="str">
        <x:v>Method; Survey; Benchmark; Dataset</x:v>
      </x:c>
      <x:c r="D5" s="13" t="str">
        <x:v>Benchmark and survey papers are excluded from proposed-method counts.</x:v>
      </x:c>
    </x:row>
    <x:row r="6">
      <x:c r="A6" s="13" t="str">
        <x:v>long_horizon</x:v>
      </x:c>
      <x:c r="B6" s="13" t="str">
        <x:v>Whether the evaluated task itself is long-horizon</x:v>
      </x:c>
      <x:c r="C6" s="13" t="str">
        <x:v>Yes; No; No / Unclear; N/A</x:v>
      </x:c>
      <x:c r="D6" s="13" t="str">
        <x:v>A method may evaluate long tasks without being an explicit long-horizon planner.</x:v>
      </x:c>
    </x:row>
    <x:row r="7">
      <x:c r="A7" s="13" t="str">
        <x:v>uses_world_model</x:v>
      </x:c>
      <x:c r="B7" s="13" t="str">
        <x:v>Whether the downstream method learns predictive environment evolution</x:v>
      </x:c>
      <x:c r="C7" s="13" t="str">
        <x:v>Yes; No; Ambiguous; N/A</x:v>
      </x:c>
      <x:c r="D7" s="13" t="str">
        <x:v>Using a frozen predictive encoder alone is not a downstream world model.</x:v>
      </x:c>
    </x:row>
    <x:row r="8">
      <x:c r="A8" s="13" t="str">
        <x:v>world_model_family</x:v>
      </x:c>
      <x:c r="B8" s="13" t="str">
        <x:v>Primary normalized world-model family</x:v>
      </x:c>
      <x:c r="C8" s="13" t="str">
        <x:v>JEPA; Latent Dynamics; RSSM; Diffusion; Transformer; VAE; Object-Centric; Hybrid; None; N/A</x:v>
      </x:c>
      <x:c r="D8" s="13" t="str"/>
    </x:row>
    <x:row r="9">
      <x:c r="A9" s="13" t="str">
        <x:v>uses_planning</x:v>
      </x:c>
      <x:c r="B9" s="13" t="str">
        <x:v>Whether behavior is explicitly optimized through search, rollout, or structured task decomposition</x:v>
      </x:c>
      <x:c r="C9" s="13" t="str">
        <x:v>Yes; No; N/A</x:v>
      </x:c>
      <x:c r="D9" s="13" t="str">
        <x:v>Future predictions used only as direct policy context are No.</x:v>
      </x:c>
    </x:row>
    <x:row r="10">
      <x:c r="A10" s="13" t="str">
        <x:v>planning_method</x:v>
      </x:c>
      <x:c r="B10" s="13" t="str">
        <x:v>Primary normalized planning mechanism</x:v>
      </x:c>
      <x:c r="C10" s="13" t="str">
        <x:v>MPC; MPPI; CEM; Tree Search; Graph Search; Hierarchical; Language Planner; Policy Rollout; Optimization; None; N/A</x:v>
      </x:c>
      <x:c r="D10" s="13" t="str"/>
    </x:row>
    <x:row r="11">
      <x:c r="A11" s="13" t="str">
        <x:v>planning_horizon</x:v>
      </x:c>
      <x:c r="B11" s="13" t="str">
        <x:v>Horizon of an explicit planner or imagined rollout</x:v>
      </x:c>
      <x:c r="C11" s="13" t="str">
        <x:v>None; Short; Medium; Long; N/A</x:v>
      </x:c>
      <x:c r="D11" s="13" t="str">
        <x:v>Default: Short &lt;10 actions; Medium 10–50; Long &gt;50 or task-level symbolic planning.</x:v>
      </x:c>
    </x:row>
    <x:row r="12">
      <x:c r="A12" s="13" t="str">
        <x:v>planning_role</x:v>
      </x:c>
      <x:c r="B12" s="13" t="str">
        <x:v>Where planning or action generation occurs</x:v>
      </x:c>
      <x:c r="C12" s="13" t="str">
        <x:v>None; Local Controller; Skill Planner; High-Level Planner; Full End-to-End Planner; N/A</x:v>
      </x:c>
      <x:c r="D12" s="13" t="str"/>
    </x:row>
    <x:row r="13">
      <x:c r="A13" s="13" t="str">
        <x:v>replanning_online</x:v>
      </x:c>
      <x:c r="B13" s="13" t="str">
        <x:v>Whether actions or plans are refreshed from new observations</x:v>
      </x:c>
      <x:c r="C13" s="13" t="str">
        <x:v>Yes; No; No / Unclear; N/A; qualified text</x:v>
      </x:c>
      <x:c r="D13" s="13" t="str">
        <x:v>Direct action-chunk refresh can be Yes even when uses_planning is No.</x:v>
      </x:c>
    </x:row>
    <x:row r="14">
      <x:c r="A14" s="13" t="str">
        <x:v>confidence</x:v>
      </x:c>
      <x:c r="B14" s="13" t="str">
        <x:v>Confidence in the annotation row</x:v>
      </x:c>
      <x:c r="C14" s="13" t="str">
        <x:v>High; Medium; Low</x:v>
      </x:c>
      <x:c r="D14" s="13" t="str">
        <x:v>Put field-specific uncertainty in review_flags.</x:v>
      </x:c>
    </x:row>
    <x:row r="15">
      <x:c r="A15" s="13" t="str">
        <x:v>review_flags</x:v>
      </x:c>
      <x:c r="B15" s="13" t="str">
        <x:v>Scope and interpretation notes</x:v>
      </x:c>
      <x:c r="C15" s="13" t="str">
        <x:v>Free text</x:v>
      </x:c>
      <x:c r="D15" s="13" t="str">
        <x:v>Preserves distinctions such as predictive representation versus downstream world model.</x:v>
      </x:c>
    </x:row>
  </x:sheetData>
  <x:pageMargins left="0.7" right="0.7" top="0.75" bottom="0.75" header="0.3" footer="0.3"/>
  <x:tableParts count="1">
    <x:tablePart xmlns:r="http://schemas.openxmlformats.org/officeDocument/2006/relationships" r:id="R4b5725686ea84772"/>
  </x:tableParts>
</x:worksheet>
</file>