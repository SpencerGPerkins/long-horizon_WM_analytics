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830478d59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066e34dcd84db8"/>
    <x:sheet xmlns:r="http://schemas.openxmlformats.org/officeDocument/2006/relationships" name="Annotations" sheetId="2" r:id="R1b2e573e89224494"/>
    <x:sheet xmlns:r="http://schemas.openxmlformats.org/officeDocument/2006/relationships" name="Taxonomy" sheetId="3" r:id="R4000e66d8199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88fddd6ab41b4" /><Relationship Type="http://schemas.openxmlformats.org/officeDocument/2006/relationships/theme" Target="/xl/theme/theme1.xml" Id="R7ae33c15cee145fb" /><Relationship Type="http://schemas.openxmlformats.org/officeDocument/2006/relationships/sharedStrings" Target="/xl/sharedStrings.xml" Id="R449625b0a9af46dd" /><Relationship Type="http://schemas.openxmlformats.org/officeDocument/2006/relationships/worksheet" Target="/xl/worksheets/sheet1.xml" Id="R83066e34dcd84db8" /><Relationship Type="http://schemas.openxmlformats.org/officeDocument/2006/relationships/worksheet" Target="/xl/worksheets/sheet2.xml" Id="R1b2e573e89224494" /><Relationship Type="http://schemas.openxmlformats.org/officeDocument/2006/relationships/worksheet" Target="/xl/worksheets/sheet3.xml" Id="R4000e66d819945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81f2b9275541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1f2b9275541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3Annotations" displayName="Batch03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3AnnotationsTaxonomy" displayName="Batch03AnnotationsTaxonomy" ref="A1:D18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92fdae330e49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20085ffa5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67b17857c343df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6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WM &amp; Planning Analytics — Batch 03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Current interpretation notes</x:v>
      </x:c>
      <x:c r="E4" s="48"/>
      <x:c r="F4" s="48"/>
      <x:c r="G4" s="48"/>
    </x:row>
    <x:row r="5">
      <x:c r="A5" s="35" t="str">
        <x:v>Method papers</x:v>
      </x:c>
      <x:c r="B5" s="43" t="n">
        <x:f>COUNTIF(Annotations!$I:$I,"Method")</x:f>
        <x:v>4</x:v>
      </x:c>
      <x:c r="D5" s="52" t="str">
        <x:v>DINO-WM is explicit latent-space CEM-MPC and is recorded as 2024 under the first-public-appearance rule.
Dream-Tac is a 20-step world-action policy, not an explicit search-based planner.
DynaWM is definition-sensitive: it regenerates actions but does not explicitly predict future environment states.
EmbodiSwap uses V-JEPA as a backbone but is classified as imitation learning rather than a downstream world model.</x:v>
      </x:c>
      <x:c r="E5" s="52"/>
      <x:c r="F5" s="52"/>
      <x:c r="G5" s="52"/>
    </x:row>
    <x:row r="6">
      <x:c r="A6" s="35" t="str">
        <x:v>Survey papers</x:v>
      </x:c>
      <x:c r="B6" s="43" t="n">
        <x:f>COUNTIF(Annotations!$I:$I,"Survey")</x:f>
        <x:v>1</x:v>
      </x:c>
      <x:c r="D6" s="52"/>
      <x:c r="E6" s="52"/>
      <x:c r="F6" s="52"/>
      <x:c r="G6" s="52"/>
    </x:row>
    <x:row r="7">
      <x:c r="A7" s="35" t="str">
        <x:v>Method papers using world models</x:v>
      </x:c>
      <x:c r="B7" s="43" t="n">
        <x:f>COUNTIFS(Annotations!$I:$I,"Method",Annotations!$S:$S,"Yes")</x:f>
        <x:v>2</x:v>
      </x:c>
      <x:c r="D7" s="52"/>
      <x:c r="E7" s="52"/>
      <x:c r="F7" s="52"/>
      <x:c r="G7" s="52"/>
    </x:row>
    <x:row r="8">
      <x:c r="A8" s="35" t="str">
        <x:v>Definition-sensitive WM papers</x:v>
      </x:c>
      <x:c r="B8" s="43" t="n">
        <x:f>COUNTIFS(Annotations!$I:$I,"Method",Annotations!$S:$S,"Ambiguous")</x:f>
        <x:v>1</x:v>
      </x:c>
      <x:c r="D8" s="52"/>
      <x:c r="E8" s="52"/>
      <x:c r="F8" s="52"/>
      <x:c r="G8" s="52"/>
    </x:row>
    <x:row r="9">
      <x:c r="A9" s="35" t="str">
        <x:v>Method papers with explicit planning</x:v>
      </x:c>
      <x:c r="B9" s="43" t="n">
        <x:f>COUNTIFS(Annotations!$I:$I,"Method",Annotations!$Z:$Z,"Yes")</x:f>
        <x:v>1</x:v>
      </x:c>
    </x:row>
    <x:row r="10">
      <x:c r="A10" s="35" t="str">
        <x:v>Long-horizon method papers</x:v>
      </x:c>
      <x:c r="B10" s="43" t="n">
        <x:f>COUNTIFS(Annotations!$I:$I,"Method",Annotations!$P:$P,"Yes")</x:f>
        <x:v>0</x:v>
      </x:c>
    </x:row>
    <x:row r="11">
      <x:c r="A11" s="35" t="str">
        <x:v>Method papers with real-robot evaluation</x:v>
      </x:c>
      <x:c r="B11" s="43" t="n">
        <x:f>COUNTIFS(Annotations!$I:$I,"Method",Annotations!$AQ:$AQ,"Yes")</x:f>
        <x:v>2</x:v>
      </x:c>
    </x:row>
    <x:row r="12">
      <x:c r="A12" s="35" t="str">
        <x:v>High-confidence rows</x:v>
      </x:c>
      <x:c r="B12" s="43" t="n">
        <x:f>COUNTIF(Annotations!$AY:$AY,"High")</x:f>
        <x:v>5</x:v>
      </x:c>
    </x:row>
    <x:row r="15">
      <x:c r="A15" s="48" t="str">
        <x:v>Year</x:v>
      </x:c>
      <x:c r="B15" s="48" t="str">
        <x:v>Methods</x:v>
      </x:c>
      <x:c r="C15" s="48" t="str">
        <x:v>Surveys</x:v>
      </x:c>
    </x:row>
    <x:row r="16">
      <x:c r="A16" s="57" t="n">
        <x:v>2022</x:v>
      </x:c>
      <x:c r="B16" s="57" t="n">
        <x:f>COUNTIFS(Annotations!$E:$E,A16,Annotations!$I:$I,"Method")</x:f>
        <x:v>0</x:v>
      </x:c>
      <x:c r="C16" s="57" t="n">
        <x:f>COUNTIFS(Annotations!$E:$E,A16,Annotations!$I:$I,"Survey")</x:f>
        <x:v>0</x:v>
      </x:c>
    </x:row>
    <x:row r="17">
      <x:c r="A17" s="57" t="n">
        <x:v>2023</x:v>
      </x:c>
      <x:c r="B17" s="57" t="n">
        <x:f>COUNTIFS(Annotations!$E:$E,A17,Annotations!$I:$I,"Method")</x:f>
        <x:v>0</x:v>
      </x:c>
      <x:c r="C17" s="57" t="n">
        <x:f>COUNTIFS(Annotations!$E:$E,A17,Annotations!$I:$I,"Survey")</x:f>
        <x:v>0</x:v>
      </x:c>
    </x:row>
    <x:row r="18">
      <x:c r="A18" s="57" t="n">
        <x:v>2024</x:v>
      </x:c>
      <x:c r="B18" s="57" t="n">
        <x:f>COUNTIFS(Annotations!$E:$E,A18,Annotations!$I:$I,"Method")</x:f>
        <x:v>1</x:v>
      </x:c>
      <x:c r="C18" s="57" t="n">
        <x:f>COUNTIFS(Annotations!$E:$E,A18,Annotations!$I:$I,"Survey")</x:f>
        <x:v>0</x:v>
      </x:c>
    </x:row>
    <x:row r="19">
      <x:c r="A19" s="57" t="n">
        <x:v>2025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1</x:v>
      </x:c>
    </x:row>
    <x:row r="20">
      <x:c r="A20" s="57" t="n">
        <x:v>2026</x:v>
      </x:c>
      <x:c r="B20" s="57" t="n">
        <x:f>COUNTIFS(Annotations!$E:$E,A20,Annotations!$I:$I,"Method")</x:f>
        <x:v>2</x:v>
      </x:c>
      <x:c r="C20" s="57" t="n">
        <x:f>COUNTIFS(Annotations!$E:$E,A20,Annotations!$I:$I,"Survey")</x:f>
        <x:v>0</x:v>
      </x:c>
    </x:row>
    <x:row r="23">
      <x:c r="A23" s="48" t="str">
        <x:v>World-model status</x:v>
      </x:c>
      <x:c r="B23" s="48" t="str">
        <x:v>Method count</x:v>
      </x:c>
      <x:c r="C23" s="48" t="str">
        <x:v>Interpretation</x:v>
      </x:c>
    </x:row>
    <x:row r="24">
      <x:c r="A24" s="13" t="str">
        <x:v>Yes</x:v>
      </x:c>
      <x:c r="B24" s="13" t="n">
        <x:f>COUNTIFS(Annotations!$I:$I,"Method",Annotations!$S:$S,A24)</x:f>
        <x:v>2</x:v>
      </x:c>
      <x:c r="C24" s="13" t="str">
        <x:v>Strict predictive environment model</x:v>
      </x:c>
    </x:row>
    <x:row r="25">
      <x:c r="A25" s="13" t="str">
        <x:v>Ambiguous</x:v>
      </x:c>
      <x:c r="B25" s="13" t="n">
        <x:f>COUNTIFS(Annotations!$I:$I,"Method",Annotations!$S:$S,A25)</x:f>
        <x:v>1</x:v>
      </x:c>
      <x:c r="C25" s="13" t="str">
        <x:v>Paper uses WM terminology but lacks explicit environment prediction</x:v>
      </x:c>
    </x:row>
    <x:row r="26">
      <x:c r="A26" s="13" t="str">
        <x:v>No</x:v>
      </x:c>
      <x:c r="B26" s="13" t="n">
        <x:f>COUNTIFS(Annotations!$I:$I,"Method",Annotations!$S:$S,A26)</x:f>
        <x:v>1</x:v>
      </x:c>
      <x:c r="C26" s="13" t="str">
        <x:v>No learned predictive environment model</x:v>
      </x:c>
    </x:row>
  </x:sheetData>
  <x:mergeCells>
    <x:mergeCell ref="A1:H2"/>
    <x:mergeCell ref="D4:G4"/>
    <x:mergeCell ref="D5:G8"/>
  </x:mergeCells>
  <x:pageMargins left="0.7" right="0.7" top="0.75" bottom="0.75" header="0.3" footer="0.3"/>
  <x:drawing xmlns:r="http://schemas.openxmlformats.org/officeDocument/2006/relationships" r:id="Rae92fdae330e49b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batch_03</x:v>
      </x:c>
      <x:c r="B2" s="13" t="str">
        <x:v>B03-001</x:v>
      </x:c>
      <x:c r="C2" s="13" t="str">
        <x:v>DINO-WM: World Models on Pre-trained Visual Features enable Zero-shot Planning</x:v>
      </x:c>
      <x:c r="D2" s="13" t="str">
        <x:v>Gaoyue Zhou; Hengkai Pan; Yann LeCun; Lerrel Pinto</x:v>
      </x:c>
      <x:c r="E2" s="13" t="n">
        <x:v>2024</x:v>
      </x:c>
      <x:c r="F2" s="13" t="str">
        <x:v>First public appearance: arXiv:2411.04983 on 7 Nov 2024; later published at ICML 2025</x:v>
      </x:c>
      <x:c r="G2" s="13" t="str">
        <x:v>International Conference on Machine Learning (ICML)</x:v>
      </x:c>
      <x:c r="H2" s="13" t="str">
        <x:v>Peer-reviewed conference article</x:v>
      </x:c>
      <x:c r="I2" s="13" t="str">
        <x:v>Method</x:v>
      </x:c>
      <x:c r="J2" s="13" t="str"/>
      <x:c r="K2" s="13" t="str">
        <x:v>arXiv:2411.04983; PMLR 267</x:v>
      </x:c>
      <x:c r="L2" s="13" t="str">
        <x:v>Yes</x:v>
      </x:c>
      <x:c r="M2" s="13" t="str">
        <x:v>Code and trained models are released through the DINO-WM project repository/site.</x:v>
      </x:c>
      <x:c r="N2" s="13" t="str">
        <x:v>General Robotics; Manipulation; Navigation; Deformable-Object Control</x:v>
      </x:c>
      <x:c r="O2" s="13" t="str">
        <x:v>World Modeling; Planning; Zero-Shot Goal Reaching</x:v>
      </x:c>
      <x:c r="P2" s="13" t="str">
        <x:v>No</x:v>
      </x:c>
      <x:c r="Q2" s="13" t="str">
        <x:v>No</x:v>
      </x:c>
      <x:c r="R2" s="13" t="str">
        <x:v>No</x:v>
      </x:c>
      <x:c r="S2" s="13" t="str">
        <x:v>Yes</x:v>
      </x:c>
      <x:c r="T2" s="13" t="str">
        <x:v>Latent Dynamics</x:v>
      </x:c>
      <x:c r="U2" s="13" t="str">
        <x:v>Frozen DINOv2 patch encoder with an autoregressive causal ViT transition model; the image decoder is optional and not needed for planning.</x:v>
      </x:c>
      <x:c r="V2" s="13" t="str">
        <x:v>Latent</x:v>
      </x:c>
      <x:c r="W2" s="13" t="str">
        <x:v>Future DINOv2 spatial patch features</x:v>
      </x:c>
      <x:c r="X2" s="13" t="str">
        <x:v>Yes</x:v>
      </x:c>
      <x:c r="Y2" s="13" t="str">
        <x:v>No — latent visual dynamics are predicted without pixel reconstruction</x:v>
      </x:c>
      <x:c r="Z2" s="13" t="str">
        <x:v>Yes</x:v>
      </x:c>
      <x:c r="AA2" s="13" t="str">
        <x:v>MPC; Cross-Entropy Method</x:v>
      </x:c>
      <x:c r="AB2" s="13" t="str">
        <x:v>Latent</x:v>
      </x:c>
      <x:c r="AC2" s="13" t="str">
        <x:v>Medium</x:v>
      </x:c>
      <x:c r="AD2" s="13" t="str">
        <x:v>Task-dependent action sequences are optimized with receding-horizon MPC; Push-T goals are selected to be feasible within 25 steps, and no high-level task decomposition is used.</x:v>
      </x:c>
      <x:c r="AE2" s="13" t="str">
        <x:v>No</x:v>
      </x:c>
      <x:c r="AF2" s="13" t="str">
        <x:v>Yes</x:v>
      </x:c>
      <x:c r="AG2" s="13" t="str">
        <x:v>Full End-to-End Planner</x:v>
      </x:c>
      <x:c r="AH2" s="13" t="str">
        <x:v>Offline Self-Supervised World-Model Learning</x:v>
      </x:c>
      <x:c r="AI2" s="13" t="str">
        <x:v>None — actions are optimized at test time</x:v>
      </x:c>
      <x:c r="AJ2" s="13" t="str">
        <x:v>Yes — frozen DINOv2 visual encoder</x:v>
      </x:c>
      <x:c r="AK2" s="13" t="str">
        <x:v>RGB</x:v>
      </x:c>
      <x:c r="AL2" s="13" t="str">
        <x:v>Goal image / target observation</x:v>
      </x:c>
      <x:c r="AM2" s="13" t="str">
        <x:v>Continuous; environment-dependent</x:v>
      </x:c>
      <x:c r="AN2" s="13" t="str">
        <x:v>Maze / PointMaze; Wall; Reach; Push-T; Rope Manipulation; Granular Manipulation</x:v>
      </x:c>
      <x:c r="AO2" s="13" t="str">
        <x:v>Simulation agents; XArm for Rope and Granular environments</x:v>
      </x:c>
      <x:c r="AP2" s="13" t="str">
        <x:v>Yes</x:v>
      </x:c>
      <x:c r="AQ2" s="13" t="str">
        <x:v>No</x:v>
      </x:c>
      <x:c r="AR2" s="13" t="str">
        <x:v>Learns task-agnostic offline visual dynamics in pretrained DINOv2 feature space and solves unseen visual goals through test-time action optimization.</x:v>
      </x:c>
      <x:c r="AS2" s="13" t="str">
        <x:v>Eliminates pixel reconstruction and task-specific rewards or policies while retaining spatial patch structure suitable for zero-shot MPC.</x:v>
      </x:c>
      <x:c r="AT2" s="13" t="str">
        <x:v>Requires offline state-action datasets with sufficient coverage and ground-truth actions; evaluations are simulated and action-space MPC does not provide hierarchical task reasoning.</x:v>
      </x:c>
      <x:c r="AU2" s="13" t="str">
        <x:v>Combine with exploration and online updates, learn from unlabelled internet video without ground-truth actions, regularize planning objectives, and integrate high-level planning with low-level control.</x:v>
      </x:c>
      <x:c r="AV2" s="13" t="str">
        <x:v>The action-conditioned transition model autoregressively predicts future DINOv2 patch embeddings from observation and action histories.</x:v>
      </x:c>
      <x:c r="AW2" s="13" t="str">
        <x:v>CEM optimizes action sequences against latent goal error and MPC repeatedly replans from new observations.</x:v>
      </x:c>
      <x:c r="AX2" s="13" t="str">
        <x:v>The evaluated behavior is multi-step visual goal reaching, including Push-T targets feasible within 25 steps, rather than long-horizon symbolic or skill-level task planning.</x:v>
      </x:c>
      <x:c r="AY2" s="13" t="str">
        <x:v>High</x:v>
      </x:c>
      <x:c r="AZ2" s="13" t="str">
        <x:v>Core world-model and explicit-planning paper. Record year as 2024 under the first-public-appearance rule, despite its ICML 2025 publication.</x:v>
      </x:c>
      <x:c r="BA2" s="13" t="str">
        <x:v>DINO-WM_ World Models on Pre-trained Visual Features enable Zero-shot Planning.txt</x:v>
      </x:c>
    </x:row>
    <x:row r="3">
      <x:c r="A3" s="13" t="str">
        <x:v>batch_03</x:v>
      </x:c>
      <x:c r="B3" s="13" t="str">
        <x:v>B03-002</x:v>
      </x:c>
      <x:c r="C3" s="13" t="str">
        <x:v>Dream-Tac: A Unified Tactile World Action Model for Contact-Rich Robot Manipulation</x:v>
      </x:c>
      <x:c r="D3" s="13" t="str">
        <x:v>Yunfan Lou; Yifan Ye; Yankai Fu; Jun Cen; Xiaowei Chi; Yaoxu Lyu; Peidong Jia; Sirui Han; Zhihe Lu; Shanghang Zhang</x:v>
      </x:c>
      <x:c r="E3" s="13" t="n">
        <x:v>2026</x:v>
      </x:c>
      <x:c r="F3" s="13" t="str">
        <x:v>First public appearance: arXiv:2606.08737 on 7 Jun 2026</x:v>
      </x:c>
      <x:c r="G3" s="13" t="str">
        <x:v>arXiv</x:v>
      </x:c>
      <x:c r="H3" s="13" t="str">
        <x:v>Preprint</x:v>
      </x:c>
      <x:c r="I3" s="13" t="str">
        <x:v>Method</x:v>
      </x:c>
      <x:c r="J3" s="13" t="str"/>
      <x:c r="K3" s="13" t="str">
        <x:v>arXiv:2606.08737</x:v>
      </x:c>
      <x:c r="L3" s="13" t="str">
        <x:v>Yes</x:v>
      </x:c>
      <x:c r="M3" s="13" t="str">
        <x:v>Code repository is released by the authors.</x:v>
      </x:c>
      <x:c r="N3" s="13" t="str">
        <x:v>Contact-Rich Manipulation</x:v>
      </x:c>
      <x:c r="O3" s="13" t="str">
        <x:v>Policy Learning; World Action Modeling; Visuo-Tactile Prediction</x:v>
      </x:c>
      <x:c r="P3" s="13" t="str">
        <x:v>No</x:v>
      </x:c>
      <x:c r="Q3" s="13" t="str">
        <x:v>Yes</x:v>
      </x:c>
      <x:c r="R3" s="13" t="str">
        <x:v>No</x:v>
      </x:c>
      <x:c r="S3" s="13" t="str">
        <x:v>Yes</x:v>
      </x:c>
      <x:c r="T3" s="13" t="str">
        <x:v>Diffusion</x:v>
      </x:c>
      <x:c r="U3" s="13" t="str">
        <x:v>Pretrained video Diffusion Transformer with a shared visual, tactile, robot-state, and action latent space plus contact-aware self-attention.</x:v>
      </x:c>
      <x:c r="V3" s="13" t="str">
        <x:v>Hybrid Latent</x:v>
      </x:c>
      <x:c r="W3" s="13" t="str">
        <x:v>Future visual observations; future tactile observations; 20-step action chunk</x:v>
      </x:c>
      <x:c r="X3" s="13" t="str">
        <x:v>Yes — actions and future observations are jointly generated</x:v>
      </x:c>
      <x:c r="Y3" s="13" t="str">
        <x:v>Yes</x:v>
      </x:c>
      <x:c r="Z3" s="13" t="str">
        <x:v>No</x:v>
      </x:c>
      <x:c r="AA3" s="13" t="str">
        <x:v>None — unified generative policy without MPC, search, or trajectory optimization</x:v>
      </x:c>
      <x:c r="AB3" s="13" t="str">
        <x:v>N/A</x:v>
      </x:c>
      <x:c r="AC3" s="13" t="str">
        <x:v>None</x:v>
      </x:c>
      <x:c r="AD3" s="13" t="str">
        <x:v>The model directly generates a fixed 20-step action chunk; this is policy horizon rather than an explicit planning horizon.</x:v>
      </x:c>
      <x:c r="AE3" s="13" t="str">
        <x:v>No</x:v>
      </x:c>
      <x:c r="AF3" s="13" t="str">
        <x:v>Yes — action chunks are refreshed during closed-loop execution</x:v>
      </x:c>
      <x:c r="AG3" s="13" t="str">
        <x:v>Local Controller</x:v>
      </x:c>
      <x:c r="AH3" s="13" t="str">
        <x:v>Imitation Learning; Foundation-Model Fine-Tuning</x:v>
      </x:c>
      <x:c r="AI3" s="13" t="str">
        <x:v>World Action Model; Diffusion Policy</x:v>
      </x:c>
      <x:c r="AJ3" s="13" t="str">
        <x:v>Yes — pretrained video DiT, T5 encoder, and video VAE</x:v>
      </x:c>
      <x:c r="AK3" s="13" t="str">
        <x:v>Multimodal: third-person RGB; wrist RGB; dual tactile RGB; robot state</x:v>
      </x:c>
      <x:c r="AL3" s="13" t="str">
        <x:v>Language instruction</x:v>
      </x:c>
      <x:c r="AM3" s="13" t="str">
        <x:v>Continuous action chunks</x:v>
      </x:c>
      <x:c r="AN3" s="13" t="str">
        <x:v>Six custom real-world tasks: Pick Baguette; Insert USB; Clean Whiteboard; Cut Banana; Peel Cucumber; Play Mahjong</x:v>
      </x:c>
      <x:c r="AO3" s="13" t="str">
        <x:v>Franka Emika Panda with RealSense D435i cameras and Xense Photon tactile sensors</x:v>
      </x:c>
      <x:c r="AP3" s="13" t="str">
        <x:v>No</x:v>
      </x:c>
      <x:c r="AQ3" s="13" t="str">
        <x:v>Yes</x:v>
      </x:c>
      <x:c r="AR3" s="13" t="str">
        <x:v>Jointly predicts actions, future visual observations, and future tactile dynamics to improve contact-rich manipulation.</x:v>
      </x:c>
      <x:c r="AS3" s="13" t="str">
        <x:v>Introduces contact-gated visuo-tactile fusion, a contact-aware attention bias, and diffusion-step caching for faster real-time inference.</x:v>
      </x:c>
      <x:c r="AT3" s="13" t="str">
        <x:v>Evaluated on a limited task and object set; the simple frame-difference contact gate may miss subtle or long-horizon interactions; diffusion inference remains expensive relative to lightweight reactive policies.</x:v>
      </x:c>
      <x:c r="AU3" s="13" t="str">
        <x:v>Scale visuo-tactile data, develop richer contact models, improve real-time efficiency, and extend to dexterous, deformable, multi-stage, and long-horizon contact-rich tasks.</x:v>
      </x:c>
      <x:c r="AV3" s="13" t="str">
        <x:v>The shared diffusion model denoises future image, future tactile, and action tokens together in one latent sequence.</x:v>
      </x:c>
      <x:c r="AW3" s="13" t="str">
        <x:v>No separate planner is used; generated action chunks are executed as a closed-loop policy.</x:v>
      </x:c>
      <x:c r="AX3" s="13" t="str">
        <x:v>The action chunk is H=20, but the evaluated tasks are individual contact-rich skills rather than long-horizon task plans.</x:v>
      </x:c>
      <x:c r="AY3" s="13" t="str">
        <x:v>High</x:v>
      </x:c>
      <x:c r="AZ3" s="13" t="str">
        <x:v>Core world-action-model paper, but exclude from explicit planner-frequency counts.</x:v>
      </x:c>
      <x:c r="BA3" s="13" t="str">
        <x:v>Dream-Tac_ A Unified Tactile World Action Model for Contact-Rich Robot Manipulation.txt</x:v>
      </x:c>
    </x:row>
    <x:row r="4">
      <x:c r="A4" s="13" t="str">
        <x:v>batch_03</x:v>
      </x:c>
      <x:c r="B4" s="13" t="str">
        <x:v>B03-003</x:v>
      </x:c>
      <x:c r="C4" s="13" t="str">
        <x:v>DynaWM: A Base-VLA-Guided World Foundation Model for Moving-Object Manipulation</x:v>
      </x:c>
      <x:c r="D4" s="13" t="str">
        <x:v>Chongkei Chang; Zhidong Deng</x:v>
      </x:c>
      <x:c r="E4" s="13" t="n">
        <x:v>2026</x:v>
      </x:c>
      <x:c r="F4" s="13" t="str">
        <x:v>First public appearance: arXiv:2607.02604 on 1 Jul 2026</x:v>
      </x:c>
      <x:c r="G4" s="13" t="str">
        <x:v>arXiv</x:v>
      </x:c>
      <x:c r="H4" s="13" t="str">
        <x:v>Preprint</x:v>
      </x:c>
      <x:c r="I4" s="13" t="str">
        <x:v>Method</x:v>
      </x:c>
      <x:c r="J4" s="13" t="str"/>
      <x:c r="K4" s="13" t="str">
        <x:v>arXiv:2607.02604</x:v>
      </x:c>
      <x:c r="L4" s="13" t="str">
        <x:v>Unknown</x:v>
      </x:c>
      <x:c r="M4" s="13" t="str">
        <x:v>No code or model repository was identified in the supplied manuscript.</x:v>
      </x:c>
      <x:c r="N4" s="13" t="str">
        <x:v>Dynamic Moving-Object Manipulation</x:v>
      </x:c>
      <x:c r="O4" s="13" t="str">
        <x:v>Policy Learning; Dynamic Action Refinement; Benchmark and Dataset</x:v>
      </x:c>
      <x:c r="P4" s="13" t="str">
        <x:v>No</x:v>
      </x:c>
      <x:c r="Q4" s="13" t="str">
        <x:v>Yes — inherited through the frozen base VLA</x:v>
      </x:c>
      <x:c r="R4" s="13" t="str">
        <x:v>No</x:v>
      </x:c>
      <x:c r="S4" s="13" t="str">
        <x:v>Ambiguous</x:v>
      </x:c>
      <x:c r="T4" s="13" t="str">
        <x:v>Diffusion</x:v>
      </x:c>
      <x:c r="U4" s="13" t="str">
        <x:v>A V-JEPA 2.1 history encoder, Mamba-3 base-action encoder, state encoder, and flow-matching DiT regenerate action chunks; the method does not explicitly roll out future observations or states.</x:v>
      </x:c>
      <x:c r="V4" s="13" t="str">
        <x:v>Action Trajectory</x:v>
      </x:c>
      <x:c r="W4" s="13" t="str">
        <x:v>Regenerated 10-step, 7D action chunk</x:v>
      </x:c>
      <x:c r="X4" s="13" t="str">
        <x:v>Yes — conditioned on the frozen base VLA action chunk</x:v>
      </x:c>
      <x:c r="Y4" s="13" t="str">
        <x:v>No</x:v>
      </x:c>
      <x:c r="Z4" s="13" t="str">
        <x:v>No</x:v>
      </x:c>
      <x:c r="AA4" s="13" t="str">
        <x:v>None — closed-loop action regeneration without search or model rollout</x:v>
      </x:c>
      <x:c r="AB4" s="13" t="str">
        <x:v>N/A</x:v>
      </x:c>
      <x:c r="AC4" s="13" t="str">
        <x:v>None</x:v>
      </x:c>
      <x:c r="AD4" s="13" t="str">
        <x:v>DynaWM regenerates a 10-step action chunk; the paper calls this a short-horizon signal rather than an explicit plan.</x:v>
      </x:c>
      <x:c r="AE4" s="13" t="str">
        <x:v>No</x:v>
      </x:c>
      <x:c r="AF4" s="13" t="str">
        <x:v>Yes — chunks are regenerated using the latest multi-view history</x:v>
      </x:c>
      <x:c r="AG4" s="13" t="str">
        <x:v>Local Controller</x:v>
      </x:c>
      <x:c r="AH4" s="13" t="str">
        <x:v>Supervised Imitation Learning; Flow Matching; VLA Post-Processing</x:v>
      </x:c>
      <x:c r="AI4" s="13" t="str">
        <x:v>VLA Augmentation; Flow-Matching Action Generator</x:v>
      </x:c>
      <x:c r="AJ4" s="13" t="str">
        <x:v>Yes — frozen base VLA and V-JEPA 2.1 encoder</x:v>
      </x:c>
      <x:c r="AK4" s="13" t="str">
        <x:v>Three RGB views over five frames; 9D robot state; base VLA action chunk</x:v>
      </x:c>
      <x:c r="AL4" s="13" t="str">
        <x:v>Language instruction or subtask processed by the base VLA</x:v>
      </x:c>
      <x:c r="AM4" s="13" t="str">
        <x:v>Continuous 7D; 10-step chunks</x:v>
      </x:c>
      <x:c r="AN4" s="13" t="str">
        <x:v>DynaGrasp-32; DynaGrasp-1600</x:v>
      </x:c>
      <x:c r="AO4" s="13" t="str">
        <x:v>Franka Panda in Isaac Sim</x:v>
      </x:c>
      <x:c r="AP4" s="13" t="str">
        <x:v>Yes</x:v>
      </x:c>
      <x:c r="AQ4" s="13" t="str">
        <x:v>No</x:v>
      </x:c>
      <x:c r="AR4" s="13" t="str">
        <x:v>Adds a policy-agnostic action-regeneration module that uses recent motion evidence to correct frozen VLA action chunks for moving-target interception.</x:v>
      </x:c>
      <x:c r="AS4" s="13" t="str">
        <x:v>Uses the physical action trajectory as a common interface across heterogeneous VLA architectures and introduces a dedicated moving-object benchmark and dataset.</x:v>
      </x:c>
      <x:c r="AT4" s="13" t="str">
        <x:v>Inferred from the study design: evaluation is simulation-only, depends on base-VLA proposals, uses short 10-step chunks, and does not explicitly predict or roll out future environment states.</x:v>
      </x:c>
      <x:c r="AU4" s="13" t="str">
        <x:v>Not explicitly stated in the supplied manuscript.</x:v>
      </x:c>
      <x:c r="AV4" s="13" t="str">
        <x:v>The paper names the module a world foundation model, but its learned target is an action trajectory and V-JEPA supplies observed-history features rather than future rollouts.</x:v>
      </x:c>
      <x:c r="AW4" s="13" t="str">
        <x:v>The DiT directly regenerates an action chunk for execution; no MPC, search, or trajectory-scoring procedure is described.</x:v>
      </x:c>
      <x:c r="AX4" s="13" t="str">
        <x:v>The implemented horizon is H=10, explicitly described as short-horizon action conditioning.</x:v>
      </x:c>
      <x:c r="AY4" s="13" t="str">
        <x:v>High</x:v>
      </x:c>
      <x:c r="AZ4" s="13" t="str">
        <x:v>Definition-sensitive entry: classify as Ambiguous under the strict predictive-environment-model rule. Include in world-action/predictive-policy analyses, but separate from rollout-based world models.</x:v>
      </x:c>
      <x:c r="BA4" s="13" t="str">
        <x:v>DynaWM_ A Base-VLA-Guided World Foundation Model for Moving-Object Manipulation.txt</x:v>
      </x:c>
    </x:row>
    <x:row r="5">
      <x:c r="A5" s="13" t="str">
        <x:v>batch_03</x:v>
      </x:c>
      <x:c r="B5" s="13" t="str">
        <x:v>B03-004</x:v>
      </x:c>
      <x:c r="C5" s="13" t="str">
        <x:v>Embodied AI: From LLMs to World Models</x:v>
      </x:c>
      <x:c r="D5" s="13" t="str">
        <x:v>Tongtong Feng; Xin Wang; Yu-Gang Jiang; Wenwu Zhu</x:v>
      </x:c>
      <x:c r="E5" s="13" t="n">
        <x:v>2025</x:v>
      </x:c>
      <x:c r="F5" s="13" t="str">
        <x:v>First public appearance: TechRxiv on 6 Oct 2025</x:v>
      </x:c>
      <x:c r="G5" s="13" t="str">
        <x:v>TechRxiv / IEEE Circuits and Systems Magazine manuscript</x:v>
      </x:c>
      <x:c r="H5" s="13" t="str">
        <x:v>Preprint; invited survey manuscript</x:v>
      </x:c>
      <x:c r="I5" s="13" t="str">
        <x:v>Survey</x:v>
      </x:c>
      <x:c r="J5" s="13" t="str"/>
      <x:c r="K5" s="13" t="str">
        <x:v>10.36227/techrxiv.175977432.27129012/v1</x:v>
      </x:c>
      <x:c r="L5" s="13" t="str">
        <x:v>Unknown</x:v>
      </x:c>
      <x:c r="M5" s="13" t="str">
        <x:v>No companion code or curated repository was identified in the supplied manuscript.</x:v>
      </x:c>
      <x:c r="N5" s="13" t="str">
        <x:v>General Robotics; Embodied AI</x:v>
      </x:c>
      <x:c r="O5" s="13" t="str">
        <x:v>Survey; Multimodal LLMs; World Models; Embodied Systems</x:v>
      </x:c>
      <x:c r="P5" s="13" t="str">
        <x:v>N/A — survey discusses long-horizon autonomy and task decomposition</x:v>
      </x:c>
      <x:c r="Q5" s="13" t="str">
        <x:v>N/A — language-based systems are a central topic</x:v>
      </x:c>
      <x:c r="R5" s="13" t="str">
        <x:v>N/A — multiple embodied interaction scenarios are reviewed</x:v>
      </x:c>
      <x:c r="S5" s="13" t="str">
        <x:v>N/A — survey reviews multiple world-model paradigms</x:v>
      </x:c>
      <x:c r="T5" s="13" t="str">
        <x:v>N/A — RSSM, JEPA, Transformer, and generative world models reviewed</x:v>
      </x:c>
      <x:c r="U5" s="13" t="str">
        <x:v>Contrasts MLLM semantic reasoning and decomposition with WM physical prediction, then proposes a joint MLLM-WM embodied-AI architecture.</x:v>
      </x:c>
      <x:c r="V5" s="13" t="str">
        <x:v>N/A</x:v>
      </x:c>
      <x:c r="W5" s="13" t="str">
        <x:v>N/A</x:v>
      </x:c>
      <x:c r="X5" s="13" t="str">
        <x:v>N/A</x:v>
      </x:c>
      <x:c r="Y5" s="13" t="str">
        <x:v>N/A</x:v>
      </x:c>
      <x:c r="Z5" s="13" t="str">
        <x:v>N/A — multiple task-decomposition and imagination-based approaches reviewed</x:v>
      </x:c>
      <x:c r="AA5" s="13" t="str">
        <x:v>N/A</x:v>
      </x:c>
      <x:c r="AB5" s="13" t="str">
        <x:v>N/A</x:v>
      </x:c>
      <x:c r="AC5" s="13" t="str">
        <x:v>N/A</x:v>
      </x:c>
      <x:c r="AD5" s="13" t="str">
        <x:v>Long-term autonomous operation, temporally extended instructions, and multi-horizon prediction are reviewed as field-level challenges.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N/A</x:v>
      </x:c>
      <x:c r="AI5" s="13" t="str">
        <x:v>N/A</x:v>
      </x:c>
      <x:c r="AJ5" s="13" t="str">
        <x:v>N/A</x:v>
      </x:c>
      <x:c r="AK5" s="13" t="str">
        <x:v>Multiple: vision; language; audio; tactile; robot state</x:v>
      </x:c>
      <x:c r="AL5" s="13" t="str">
        <x:v>Multiple</x:v>
      </x:c>
      <x:c r="AM5" s="13" t="str">
        <x:v>Multiple</x:v>
      </x:c>
      <x:c r="AN5" s="13" t="str">
        <x:v>Multiple embodied-AI benchmarks and metrics</x:v>
      </x:c>
      <x:c r="AO5" s="13" t="str">
        <x:v>Multiple</x:v>
      </x:c>
      <x:c r="AP5" s="13" t="str">
        <x:v>Both / Survey</x:v>
      </x:c>
      <x:c r="AQ5" s="13" t="str">
        <x:v>Both / Survey</x:v>
      </x:c>
      <x:c r="AR5" s="13" t="str">
        <x:v>Reviews embodied AI from foundational components through LLM/MLLM-driven and WM-driven systems and argues for their integration.</x:v>
      </x:c>
      <x:c r="AS5" s="13" t="str">
        <x:v>Frames MLLMs and world models as complementary modules: semantic task reasoning from MLLMs and physically grounded prediction from world models.</x:v>
      </x:c>
      <x:c r="AT5" s="13" t="str">
        <x:v>MLLMs lack reliable physical grounding and real-time adaptation, while world models lack open-ended semantics and generalizable task decomposition; deployment is also constrained by hardware, energy, safety, and trustworthiness.</x:v>
      </x:c>
      <x:c r="AU5" s="13" t="str">
        <x:v>Advance autonomous long-duration agents, adaptive multimodal perception, joint real-time MLLM-WM control, hardware-software co-design, collaborative world models for swarms, lifelong learning, and trustworthy deployment.</x:v>
      </x:c>
      <x:c r="AV5" s="13" t="str">
        <x:v>The survey categorizes RSSM-, JEPA-, and Transformer-based world models and emphasizes internal representations and future prediction.</x:v>
      </x:c>
      <x:c r="AW5" s="13" t="str">
        <x:v>LLMs are described as task decomposers, while world models support imagination-based and anticipatory decision making.</x:v>
      </x:c>
      <x:c r="AX5" s="13" t="str">
        <x:v>The proposed research agenda explicitly targets long-duration autonomous operation, spatiotemporal memory, and prediction across multiple horizons.</x:v>
      </x:c>
      <x:c r="AY5" s="13" t="str">
        <x:v>High</x:v>
      </x:c>
      <x:c r="AZ5" s="13" t="str">
        <x:v>Exclude from method-only counts; retain for taxonomy, conceptual framing, and gap-analysis sections.</x:v>
      </x:c>
      <x:c r="BA5" s="13" t="str">
        <x:v>Embodied AI_From LLMs to World Models.txt</x:v>
      </x:c>
    </x:row>
    <x:row r="6">
      <x:c r="A6" s="13" t="str">
        <x:v>batch_03</x:v>
      </x:c>
      <x:c r="B6" s="13" t="str">
        <x:v>B03-005</x:v>
      </x:c>
      <x:c r="C6" s="13" t="str">
        <x:v>EmbodiSwap for Zero-Shot Robot Imitation Learning</x:v>
      </x:c>
      <x:c r="D6" s="13" t="str">
        <x:v>Eadom Dessalene; Pavan Mantripragada; Michael Maynord; Yiannis Aloimonos</x:v>
      </x:c>
      <x:c r="E6" s="13" t="n">
        <x:v>2025</x:v>
      </x:c>
      <x:c r="F6" s="13" t="str">
        <x:v>First public appearance: arXiv:2510.03706 on 4 Oct 2025</x:v>
      </x:c>
      <x:c r="G6" s="13" t="str">
        <x:v>arXiv</x:v>
      </x:c>
      <x:c r="H6" s="13" t="str">
        <x:v>Preprint</x:v>
      </x:c>
      <x:c r="I6" s="13" t="str">
        <x:v>Method</x:v>
      </x:c>
      <x:c r="J6" s="13" t="str"/>
      <x:c r="K6" s="13" t="str">
        <x:v>arXiv:2510.03706</x:v>
      </x:c>
      <x:c r="L6" s="13" t="str">
        <x:v>Yes</x:v>
      </x:c>
      <x:c r="M6" s="13" t="str">
        <x:v>The authors release the overlay-generation code, synthetic dataset, model checkpoints, and inference code.</x:v>
      </x:c>
      <x:c r="N6" s="13" t="str">
        <x:v>Manipulation; Imitation Learning</x:v>
      </x:c>
      <x:c r="O6" s="13" t="str">
        <x:v>Imitation Learning; Data Generation; Cross-Embodiment Transfer</x:v>
      </x:c>
      <x:c r="P6" s="13" t="str">
        <x:v>No</x:v>
      </x:c>
      <x:c r="Q6" s="13" t="str">
        <x:v>No</x:v>
      </x:c>
      <x:c r="R6" s="13" t="str">
        <x:v>No</x:v>
      </x:c>
      <x:c r="S6" s="13" t="str">
        <x:v>No</x:v>
      </x:c>
      <x:c r="T6" s="13" t="str">
        <x:v>None</x:v>
      </x:c>
      <x:c r="U6" s="13" t="str">
        <x:v>V-JEPA is used as a pretrained video-predictive visual backbone, but the downstream method predicts end-effector motion rather than environment dynamics.</x:v>
      </x:c>
      <x:c r="V6" s="13" t="str">
        <x:v>N/A</x:v>
      </x:c>
      <x:c r="W6" s="13" t="str">
        <x:v>Future relative 3D end-effector transform</x:v>
      </x:c>
      <x:c r="X6" s="13" t="str">
        <x:v>No</x:v>
      </x:c>
      <x:c r="Y6" s="13" t="str">
        <x:v>No — the downstream output is an end-effector trajectory</x:v>
      </x:c>
      <x:c r="Z6" s="13" t="str">
        <x:v>No</x:v>
      </x:c>
      <x:c r="AA6" s="13" t="str">
        <x:v>None</x:v>
      </x:c>
      <x:c r="AB6" s="13" t="str">
        <x:v>N/A</x:v>
      </x:c>
      <x:c r="AC6" s="13" t="str">
        <x:v>None</x:v>
      </x:c>
      <x:c r="AD6" s="13" t="str">
        <x:v>The closed-loop policy repeatedly predicts a future end-effector transform for five individual skills; it does not optimize a multi-step plan.</x:v>
      </x:c>
      <x:c r="AE6" s="13" t="str">
        <x:v>No</x:v>
      </x:c>
      <x:c r="AF6" s="13" t="str">
        <x:v>Yes — the policy predicts a new command from each updated observation</x:v>
      </x:c>
      <x:c r="AG6" s="13" t="str">
        <x:v>Local Controller</x:v>
      </x:c>
      <x:c r="AH6" s="13" t="str">
        <x:v>Imitation Learning; Self-Supervised Video Pretraining; Synthetic Data Generation</x:v>
      </x:c>
      <x:c r="AI6" s="13" t="str">
        <x:v>Transformer Visuomotor Policy</x:v>
      </x:c>
      <x:c r="AJ6" s="13" t="str">
        <x:v>Yes — pretrained V-JEPA encoder and predictor</x:v>
      </x:c>
      <x:c r="AK6" s="13" t="str">
        <x:v>RGB; optional proprioception and action-location tokens</x:v>
      </x:c>
      <x:c r="AL6" s="13" t="str">
        <x:v>Implicit action category learned from segmented human-video demonstrations</x:v>
      </x:c>
      <x:c r="AM6" s="13" t="str">
        <x:v>Continuous relative 6D end-effector transform</x:v>
      </x:c>
      <x:c r="AN6" s="13" t="str">
        <x:v>EPIC-Kitchens; HOI4D; Ego4D synthetic overlays; custom real-world Open, Close, Pour, Place, and Cut tasks</x:v>
      </x:c>
      <x:c r="AO6" s="13" t="str">
        <x:v>UR10 with Robotiq gripper</x:v>
      </x:c>
      <x:c r="AP6" s="13" t="str">
        <x:v>No — synthetic video compositing is used instead of a physics simulator</x:v>
      </x:c>
      <x:c r="AQ6" s="13" t="str">
        <x:v>Yes</x:v>
      </x:c>
      <x:c r="AR6" s="13" t="str">
        <x:v>Creates photorealistic robot overlays on in-the-wild human video and trains a zero-shot closed-loop manipulation policy using V-JEPA features.</x:v>
      </x:c>
      <x:c r="AS6" s="13" t="str">
        <x:v>Bridges the human-to-robot embodiment gap through video editing and demonstrates that V-JEPA feature-prediction pretraining transfers strongly to robot trajectory forecasting.</x:v>
      </x:c>
      <x:c r="AT6" s="13" t="str">
        <x:v>Failures arise from robot joint singularities, self-occlusion, and visually plausible but physically unsuccessful trajectories; the method also lacks explicit 3D object reasoning and high-level task composition.</x:v>
      </x:c>
      <x:c r="AU6" s="13" t="str">
        <x:v>Predict in joint space, use multiple camera perspectives, incorporate 3D object models for in-hand manipulation, and compose learned skills within higher-level cognitive frameworks.</x:v>
      </x:c>
      <x:c r="AV6" s="13" t="str">
        <x:v>The pretrained V-JEPA predictor provides visual features, but the trained task head forecasts robot motion rather than future environment states.</x:v>
      </x:c>
      <x:c r="AW6" s="13" t="str">
        <x:v>At each closed-loop step, the policy directly emits a relative end-effector command without search or imagined trajectory evaluation.</x:v>
      </x:c>
      <x:c r="AX6" s="13" t="str">
        <x:v>Evaluation covers five single manipulation skills and does not include multi-stage or long-horizon task decomposition.</x:v>
      </x:c>
      <x:c r="AY6" s="13" t="str">
        <x:v>High</x:v>
      </x:c>
      <x:c r="AZ6" s="13" t="str">
        <x:v>JEPA-related but not a JEPA world-model method under the strict taxonomy; include in representation-transfer and imitation-learning analyses.</x:v>
      </x:c>
      <x:c r="BA6" s="13" t="str">
        <x:v>EmbodiSwap for Zero-Shot Robot Imitation Learning.txt</x:v>
      </x:c>
    </x:row>
  </x:sheetData>
  <x:pageMargins left="0.7" right="0.7" top="0.75" bottom="0.75" header="0.3" footer="0.3"/>
  <x:tableParts count="1">
    <x:tablePart xmlns:r="http://schemas.openxmlformats.org/officeDocument/2006/relationships" r:id="R61c20085ffa54c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0" hidden="0" customWidth="1"/>
    <x:col min="4" max="4" width="52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batch_03;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arXiv/preprint/online-publication year; preserve later issue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/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Separate this from action-chunk or MPC horizon.</x:v>
      </x:c>
    </x:row>
    <x:row r="7">
      <x:c r="A7" s="13" t="str">
        <x:v>uses_world_model</x:v>
      </x:c>
      <x:c r="B7" s="13" t="str">
        <x:v>Whether the method learns a predictive model of environment evolution</x:v>
      </x:c>
      <x:c r="C7" s="13" t="str">
        <x:v>Yes; No; Ambiguous; N/A</x:v>
      </x:c>
      <x:c r="D7" s="13" t="str">
        <x:v>Mark Ambiguous when a paper uses world-model terminology but predicts only actions or policy outputs.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>
        <x:v>Architecture details belong in world_model_detail.</x:v>
      </x:c>
    </x:row>
    <x:row r="9">
      <x:c r="A9" s="13" t="str">
        <x:v>predictive_space</x:v>
      </x:c>
      <x:c r="B9" s="13" t="str">
        <x:v>Space in which the learned target is predicted</x:v>
      </x:c>
      <x:c r="C9" s="13" t="str">
        <x:v>Latent; Object-Centric Latent; Pixel / Observation; State; Action Trajectory; Hybrid Latent; N/A</x:v>
      </x:c>
      <x:c r="D9" s="13" t="str"/>
    </x:row>
    <x:row r="10">
      <x:c r="A10" s="13" t="str">
        <x:v>uses_planning</x:v>
      </x:c>
      <x:c r="B10" s="13" t="str">
        <x:v>Whether behavior is explicitly optimized by search, model rollout, or a structured task planner</x:v>
      </x:c>
      <x:c r="C10" s="13" t="str">
        <x:v>Yes; No; N/A</x:v>
      </x:c>
      <x:c r="D10" s="13" t="str">
        <x:v>Direct action generation, even with future prediction, is No.</x:v>
      </x:c>
    </x:row>
    <x:row r="11">
      <x:c r="A11" s="13" t="str">
        <x:v>planning_method</x:v>
      </x:c>
      <x:c r="B11" s="13" t="str">
        <x:v>Primary normalized planning mechanism</x:v>
      </x:c>
      <x:c r="C11" s="13" t="str">
        <x:v>MPC; Tree Search; Beam Search; Graph Search; Hierarchical; Diffusion Planning; Language Planner; Policy Rollout; Optimization; Reactive; None; N/A</x:v>
      </x:c>
      <x:c r="D11" s="13" t="str"/>
    </x:row>
    <x:row r="12">
      <x:c r="A12" s="13" t="str">
        <x:v>planning_horizon</x:v>
      </x:c>
      <x:c r="B12" s="13" t="str">
        <x:v>Horizon of an explicit planner or imagined rollout</x:v>
      </x:c>
      <x:c r="C12" s="13" t="str">
        <x:v>None; Short; Medium; Long; N/A</x:v>
      </x:c>
      <x:c r="D12" s="13" t="str">
        <x:v>Default rule: Short &lt;10 actions; Medium 10–50; Long &gt;50 or task-level.</x:v>
      </x:c>
    </x:row>
    <x:row r="13">
      <x:c r="A13" s="13" t="str">
        <x:v>planning_role</x:v>
      </x:c>
      <x:c r="B13" s="13" t="str">
        <x:v>Where planning/control occurs in the hierarchy</x:v>
      </x:c>
      <x:c r="C13" s="13" t="str">
        <x:v>None; Local Controller; Skill Planner; High-Level Planner; Full End-to-End Planner; N/A</x:v>
      </x:c>
      <x:c r="D13" s="13" t="str"/>
    </x:row>
    <x:row r="14">
      <x:c r="A14" s="13" t="str">
        <x:v>hierarchical_planning</x:v>
      </x:c>
      <x:c r="B14" s="13" t="str">
        <x:v>Whether multiple temporal or semantic planning levels are explicit</x:v>
      </x:c>
      <x:c r="C14" s="13" t="str">
        <x:v>Yes; No; No / Unclear; N/A</x:v>
      </x:c>
      <x:c r="D14" s="13" t="str"/>
    </x:row>
    <x:row r="15">
      <x:c r="A15" s="13" t="str">
        <x:v>replanning_online</x:v>
      </x:c>
      <x:c r="B15" s="13" t="str">
        <x:v>Whether action sequences or plans are refreshed from new observations</x:v>
      </x:c>
      <x:c r="C15" s="13" t="str">
        <x:v>Yes; No; No / Unclear; N/A</x:v>
      </x:c>
      <x:c r="D15" s="13" t="str">
        <x:v>This can be Yes for closed-loop action-chunk regeneration even when uses_planning is No; review_flags must preserve the distinction.</x:v>
      </x:c>
    </x:row>
    <x:row r="16">
      <x:c r="A16" s="13" t="str">
        <x:v>language_conditioned</x:v>
      </x:c>
      <x:c r="B16" s="13" t="str">
        <x:v>Whether natural language specifies the task or goal</x:v>
      </x:c>
      <x:c r="C16" s="13" t="str">
        <x:v>Yes; No; N/A; qualified text</x:v>
      </x:c>
      <x:c r="D16" s="13" t="str"/>
    </x:row>
    <x:row r="17">
      <x:c r="A17" s="13" t="str">
        <x:v>confidence</x:v>
      </x:c>
      <x:c r="B17" s="13" t="str">
        <x:v>Confidence in the complete annotation row</x:v>
      </x:c>
      <x:c r="C17" s="13" t="str">
        <x:v>High; Medium; Low</x:v>
      </x:c>
      <x:c r="D17" s="13" t="str">
        <x:v>Put field-specific uncertainty in review_flags.</x:v>
      </x:c>
    </x:row>
    <x:row r="18">
      <x:c r="A18" s="13" t="str">
        <x:v>review_flags</x:v>
      </x:c>
      <x:c r="B18" s="13" t="str">
        <x:v>Manual-review, scope, or interpretation notes</x:v>
      </x:c>
      <x:c r="C18" s="13" t="str">
        <x:v>Free text</x:v>
      </x:c>
      <x:c r="D18" s="13" t="str">
        <x:v>Used to identify peripheral or definition-sensitive papers.</x:v>
      </x:c>
    </x:row>
  </x:sheetData>
  <x:pageMargins left="0.7" right="0.7" top="0.75" bottom="0.75" header="0.3" footer="0.3"/>
  <x:tableParts count="1">
    <x:tablePart xmlns:r="http://schemas.openxmlformats.org/officeDocument/2006/relationships" r:id="Rec67b17857c343df"/>
  </x:tableParts>
</x:worksheet>
</file>