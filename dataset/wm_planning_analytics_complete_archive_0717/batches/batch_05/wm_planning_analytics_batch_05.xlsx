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12b2310304b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9ec6c8010534185"/>
    <x:sheet xmlns:r="http://schemas.openxmlformats.org/officeDocument/2006/relationships" name="Annotations" sheetId="2" r:id="R9eeaff2b93774a18"/>
    <x:sheet xmlns:r="http://schemas.openxmlformats.org/officeDocument/2006/relationships" name="Taxonomy" sheetId="3" r:id="R4f26e9cfbe094d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horizont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563a6c063f43c0" /><Relationship Type="http://schemas.openxmlformats.org/officeDocument/2006/relationships/theme" Target="/xl/theme/theme1.xml" Id="Rc08f640fba914fd3" /><Relationship Type="http://schemas.openxmlformats.org/officeDocument/2006/relationships/sharedStrings" Target="/xl/sharedStrings.xml" Id="Rad710ba098044a15" /><Relationship Type="http://schemas.openxmlformats.org/officeDocument/2006/relationships/worksheet" Target="/xl/worksheets/sheet1.xml" Id="R19ec6c8010534185" /><Relationship Type="http://schemas.openxmlformats.org/officeDocument/2006/relationships/worksheet" Target="/xl/worksheets/sheet2.xml" Id="R9eeaff2b93774a18" /><Relationship Type="http://schemas.openxmlformats.org/officeDocument/2006/relationships/worksheet" Target="/xl/worksheets/sheet3.xml" Id="R4f26e9cfbe094d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10e93e9b3846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Corpus by First-Publication Year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Methods</c:v>
          </c:tx>
          <c:cat>
            <c:strRef>
              <c:f>'Dashboard'!$A$18:$A$24</c:f>
              <c:strCache>
                <c:ptCount val="0"/>
              </c:strCache>
            </c:strRef>
          </c:cat>
          <c:val>
            <c:numRef>
              <c:f>'Dashboard'!$B$18:$B$24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Surveys</c:v>
          </c:tx>
          <c:cat>
            <c:strRef>
              <c:f>'Dashboard'!$A$18:$A$24</c:f>
              <c:strCache>
                <c:ptCount val="0"/>
              </c:strCache>
            </c:strRef>
          </c:cat>
          <c:val>
            <c:numRef>
              <c:f>'Dashboard'!$C$18:$C$24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Benchmarks</c:v>
          </c:tx>
          <c:cat>
            <c:strRef>
              <c:f>'Dashboard'!$A$18:$A$24</c:f>
              <c:strCache>
                <c:ptCount val="0"/>
              </c:strCache>
            </c:strRef>
          </c:cat>
          <c:val>
            <c:numRef>
              <c:f>'Dashboard'!$D$18:$D$24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10e93e9b38460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tch05Annotations" displayName="Batch05Annotations" ref="A1:BA6" headerRowCount="1">
  <x:tableColumns count="53">
    <x:tableColumn id="1" name="batch_id"/>
    <x:tableColumn id="2" name="paper_id"/>
    <x:tableColumn id="3" name="title"/>
    <x:tableColumn id="4" name="authors"/>
    <x:tableColumn id="5" name="year"/>
    <x:tableColumn id="6" name="year_basis"/>
    <x:tableColumn id="7" name="venue"/>
    <x:tableColumn id="8" name="publication_status"/>
    <x:tableColumn id="9" name="paper_type"/>
    <x:tableColumn id="10" name="citation_count"/>
    <x:tableColumn id="11" name="doi_or_identifier"/>
    <x:tableColumn id="12" name="open_source"/>
    <x:tableColumn id="13" name="open_source_notes"/>
    <x:tableColumn id="14" name="task_domain"/>
    <x:tableColumn id="15" name="primary_problem"/>
    <x:tableColumn id="16" name="long_horizon"/>
    <x:tableColumn id="17" name="language_conditioned"/>
    <x:tableColumn id="18" name="human_robot_interaction"/>
    <x:tableColumn id="19" name="uses_world_model"/>
    <x:tableColumn id="20" name="world_model_family"/>
    <x:tableColumn id="21" name="world_model_detail"/>
    <x:tableColumn id="22" name="predictive_space"/>
    <x:tableColumn id="23" name="prediction_target"/>
    <x:tableColumn id="24" name="action_conditioned"/>
    <x:tableColumn id="25" name="video_prediction"/>
    <x:tableColumn id="26" name="uses_planning"/>
    <x:tableColumn id="27" name="planning_method"/>
    <x:tableColumn id="28" name="planning_representation"/>
    <x:tableColumn id="29" name="planning_horizon"/>
    <x:tableColumn id="30" name="horizon_basis"/>
    <x:tableColumn id="31" name="hierarchical_planning"/>
    <x:tableColumn id="32" name="replanning_online"/>
    <x:tableColumn id="33" name="planning_role"/>
    <x:tableColumn id="34" name="learning_type"/>
    <x:tableColumn id="35" name="policy_type"/>
    <x:tableColumn id="36" name="pretraining"/>
    <x:tableColumn id="37" name="observation_modality"/>
    <x:tableColumn id="38" name="goal_representation"/>
    <x:tableColumn id="39" name="action_space"/>
    <x:tableColumn id="40" name="benchmark"/>
    <x:tableColumn id="41" name="robot_platform"/>
    <x:tableColumn id="42" name="simulation"/>
    <x:tableColumn id="43" name="real_robot"/>
    <x:tableColumn id="44" name="main_contribution"/>
    <x:tableColumn id="45" name="novelty"/>
    <x:tableColumn id="46" name="limitations"/>
    <x:tableColumn id="47" name="future_work"/>
    <x:tableColumn id="48" name="evidence_world_model"/>
    <x:tableColumn id="49" name="evidence_planning"/>
    <x:tableColumn id="50" name="evidence_horizon"/>
    <x:tableColumn id="51" name="confidence"/>
    <x:tableColumn id="52" name="review_flags"/>
    <x:tableColumn id="53" name="source_document"/>
  </x:tableColumns>
  <x:tableStyleInfo name="TableStyleMedium2" showRowStripes="1"/>
</x:table>
</file>

<file path=xl/tables/table2.xml><?xml version="1.0" encoding="utf-8"?>
<x:table xmlns:x="http://schemas.openxmlformats.org/spreadsheetml/2006/main" id="2" name="Batch05AnnotationsTaxonomy" displayName="Batch05AnnotationsTaxonomy" ref="A1:D15" headerRowCount="1">
  <x:tableColumns count="4">
    <x:tableColumn id="1" name="Field"/>
    <x:tableColumn id="2" name="Definition"/>
    <x:tableColumn id="3" name="Allowed / normalized values"/>
    <x:tableColumn id="4" name="Annotation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ca274789f314c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b50c096fdd42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3fad2961ad44ab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5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8" t="str">
        <x:v>WM &amp; Planning Analytics — Batch 05</x:v>
      </x:c>
      <x:c r="B1" s="28"/>
      <x:c r="C1" s="28"/>
      <x:c r="D1" s="28"/>
      <x:c r="E1" s="28"/>
      <x:c r="F1" s="28"/>
      <x:c r="G1" s="28"/>
      <x:c r="H1" s="28"/>
    </x:row>
    <x:row r="2">
      <x:c r="A2" s="28"/>
      <x:c r="B2" s="28"/>
      <x:c r="C2" s="28"/>
      <x:c r="D2" s="28"/>
      <x:c r="E2" s="28"/>
      <x:c r="F2" s="28"/>
      <x:c r="G2" s="28"/>
      <x:c r="H2" s="28"/>
    </x:row>
    <x:row r="4">
      <x:c r="A4" s="35" t="str">
        <x:v>Total papers</x:v>
      </x:c>
      <x:c r="B4" s="43" t="n">
        <x:f>COUNTA(Annotations!$C:$C)-1</x:f>
        <x:v>5</x:v>
      </x:c>
      <x:c r="D4" s="48" t="str">
        <x:v>Batch 05 interpretation notes</x:v>
      </x:c>
      <x:c r="E4" s="48"/>
      <x:c r="F4" s="48"/>
      <x:c r="G4" s="48"/>
    </x:row>
    <x:row r="5">
      <x:c r="A5" s="35" t="str">
        <x:v>Method papers</x:v>
      </x:c>
      <x:c r="B5" s="43" t="n">
        <x:f>COUNTIF(Annotations!$I:$I,"Method")</x:f>
        <x:v>4</x:v>
      </x:c>
      <x:c r="D5" s="52" t="str">
        <x:v>• Puppeteer has two planning levels, but each TD-MPC2 horizon is only H=3.
• The 2019 IKEA environment is a distinct simulation benchmark and precursor to FurnitureBench.
• Inner Monologue is a closed-loop language planner, not a learned world model.
• IntentVLA is a history-conditioned action policy, not an explicit planner or world model.
• IQL-TD-MPC is long-horizon at the task level; its manager plans 32 environment steps and is classified Medium.</x:v>
      </x:c>
      <x:c r="E5" s="52"/>
      <x:c r="F5" s="52"/>
      <x:c r="G5" s="52"/>
    </x:row>
    <x:row r="6">
      <x:c r="A6" s="35" t="str">
        <x:v>Survey papers</x:v>
      </x:c>
      <x:c r="B6" s="43" t="n">
        <x:f>COUNTIF(Annotations!$I:$I,"Survey")</x:f>
        <x:v>0</x:v>
      </x:c>
      <x:c r="D6" s="52"/>
      <x:c r="E6" s="52"/>
      <x:c r="F6" s="52"/>
      <x:c r="G6" s="52"/>
    </x:row>
    <x:row r="7">
      <x:c r="A7" s="35" t="str">
        <x:v>Benchmark papers</x:v>
      </x:c>
      <x:c r="B7" s="43" t="n">
        <x:f>COUNTIF(Annotations!$I:$I,"Benchmark")</x:f>
        <x:v>1</x:v>
      </x:c>
      <x:c r="D7" s="52"/>
      <x:c r="E7" s="52"/>
      <x:c r="F7" s="52"/>
      <x:c r="G7" s="52"/>
    </x:row>
    <x:row r="8">
      <x:c r="A8" s="35" t="str">
        <x:v>Method papers using world models</x:v>
      </x:c>
      <x:c r="B8" s="43" t="n">
        <x:f>COUNTIFS(Annotations!$I:$I,"Method",Annotations!$S:$S,"Yes")</x:f>
        <x:v>2</x:v>
      </x:c>
      <x:c r="D8" s="52"/>
      <x:c r="E8" s="52"/>
      <x:c r="F8" s="52"/>
      <x:c r="G8" s="52"/>
    </x:row>
    <x:row r="9">
      <x:c r="A9" s="35" t="str">
        <x:v>Definition-sensitive WM papers</x:v>
      </x:c>
      <x:c r="B9" s="43" t="n">
        <x:f>COUNTIFS(Annotations!$I:$I,"Method",Annotations!$S:$S,"Ambiguous")</x:f>
        <x:v>0</x:v>
      </x:c>
      <x:c r="D9" s="52"/>
      <x:c r="E9" s="52"/>
      <x:c r="F9" s="52"/>
      <x:c r="G9" s="52"/>
    </x:row>
    <x:row r="10">
      <x:c r="A10" s="35" t="str">
        <x:v>Method papers with explicit planning</x:v>
      </x:c>
      <x:c r="B10" s="43" t="n">
        <x:f>COUNTIFS(Annotations!$I:$I,"Method",Annotations!$Z:$Z,"Yes")</x:f>
        <x:v>3</x:v>
      </x:c>
      <x:c r="D10" s="52"/>
      <x:c r="E10" s="52"/>
      <x:c r="F10" s="52"/>
      <x:c r="G10" s="52"/>
    </x:row>
    <x:row r="11">
      <x:c r="A11" s="35" t="str">
        <x:v>Long-horizon method papers</x:v>
      </x:c>
      <x:c r="B11" s="43" t="n">
        <x:f>COUNTIFS(Annotations!$I:$I,"Method",Annotations!$P:$P,"Yes")</x:f>
        <x:v>2</x:v>
      </x:c>
      <x:c r="D11" s="52"/>
      <x:c r="E11" s="52"/>
      <x:c r="F11" s="52"/>
      <x:c r="G11" s="52"/>
    </x:row>
    <x:row r="12">
      <x:c r="A12" s="35" t="str">
        <x:v>Long-horizon benchmark papers</x:v>
      </x:c>
      <x:c r="B12" s="43" t="n">
        <x:f>COUNTIFS(Annotations!$I:$I,"Benchmark",Annotations!$P:$P,"Yes")</x:f>
        <x:v>1</x:v>
      </x:c>
    </x:row>
    <x:row r="13">
      <x:c r="A13" s="35" t="str">
        <x:v>Method papers with real-robot evaluation</x:v>
      </x:c>
      <x:c r="B13" s="43" t="n">
        <x:f>COUNTIFS(Annotations!$I:$I,"Method",Annotations!$AQ:$AQ,"Yes")</x:f>
        <x:v>1</x:v>
      </x:c>
    </x:row>
    <x:row r="14">
      <x:c r="A14" s="35" t="str">
        <x:v>High-confidence rows</x:v>
      </x:c>
      <x:c r="B14" s="43" t="n">
        <x:f>COUNTIF(Annotations!$AY:$AY,"High")</x:f>
        <x:v>5</x:v>
      </x:c>
    </x:row>
    <x:row r="17">
      <x:c r="A17" s="48" t="str">
        <x:v>Year</x:v>
      </x:c>
      <x:c r="B17" s="48" t="str">
        <x:v>Methods</x:v>
      </x:c>
      <x:c r="C17" s="48" t="str">
        <x:v>Surveys</x:v>
      </x:c>
      <x:c r="D17" s="48" t="str">
        <x:v>Benchmarks</x:v>
      </x:c>
    </x:row>
    <x:row r="18">
      <x:c r="A18" s="57" t="n">
        <x:v>2019</x:v>
      </x:c>
      <x:c r="B18" s="57" t="n">
        <x:f>COUNTIFS(Annotations!$E:$E,A18,Annotations!$I:$I,"Method")</x:f>
        <x:v>0</x:v>
      </x:c>
      <x:c r="C18" s="57" t="n">
        <x:f>COUNTIFS(Annotations!$E:$E,A18,Annotations!$I:$I,"Survey")</x:f>
        <x:v>0</x:v>
      </x:c>
      <x:c r="D18" s="57" t="n">
        <x:f>COUNTIFS(Annotations!$E:$E,A18,Annotations!$I:$I,"Benchmark")</x:f>
        <x:v>1</x:v>
      </x:c>
    </x:row>
    <x:row r="19">
      <x:c r="A19" s="57" t="n">
        <x:v>2021</x:v>
      </x:c>
      <x:c r="B19" s="57" t="n">
        <x:f>COUNTIFS(Annotations!$E:$E,A19,Annotations!$I:$I,"Method")</x:f>
        <x:v>0</x:v>
      </x:c>
      <x:c r="C19" s="57" t="n">
        <x:f>COUNTIFS(Annotations!$E:$E,A19,Annotations!$I:$I,"Survey")</x:f>
        <x:v>0</x:v>
      </x:c>
      <x:c r="D19" s="57" t="n">
        <x:f>COUNTIFS(Annotations!$E:$E,A19,Annotations!$I:$I,"Benchmark")</x:f>
        <x:v>0</x:v>
      </x:c>
    </x:row>
    <x:row r="20">
      <x:c r="A20" s="57" t="n">
        <x:v>2022</x:v>
      </x:c>
      <x:c r="B20" s="57" t="n">
        <x:f>COUNTIFS(Annotations!$E:$E,A20,Annotations!$I:$I,"Method")</x:f>
        <x:v>1</x:v>
      </x:c>
      <x:c r="C20" s="57" t="n">
        <x:f>COUNTIFS(Annotations!$E:$E,A20,Annotations!$I:$I,"Survey")</x:f>
        <x:v>0</x:v>
      </x:c>
      <x:c r="D20" s="57" t="n">
        <x:f>COUNTIFS(Annotations!$E:$E,A20,Annotations!$I:$I,"Benchmark")</x:f>
        <x:v>0</x:v>
      </x:c>
    </x:row>
    <x:row r="21">
      <x:c r="A21" s="57" t="n">
        <x:v>2023</x:v>
      </x:c>
      <x:c r="B21" s="57" t="n">
        <x:f>COUNTIFS(Annotations!$E:$E,A21,Annotations!$I:$I,"Method")</x:f>
        <x:v>1</x:v>
      </x:c>
      <x:c r="C21" s="57" t="n">
        <x:f>COUNTIFS(Annotations!$E:$E,A21,Annotations!$I:$I,"Survey")</x:f>
        <x:v>0</x:v>
      </x:c>
      <x:c r="D21" s="57" t="n">
        <x:f>COUNTIFS(Annotations!$E:$E,A21,Annotations!$I:$I,"Benchmark")</x:f>
        <x:v>0</x:v>
      </x:c>
    </x:row>
    <x:row r="22">
      <x:c r="A22" s="57" t="n">
        <x:v>2024</x:v>
      </x:c>
      <x:c r="B22" s="57" t="n">
        <x:f>COUNTIFS(Annotations!$E:$E,A22,Annotations!$I:$I,"Method")</x:f>
        <x:v>1</x:v>
      </x:c>
      <x:c r="C22" s="57" t="n">
        <x:f>COUNTIFS(Annotations!$E:$E,A22,Annotations!$I:$I,"Survey")</x:f>
        <x:v>0</x:v>
      </x:c>
      <x:c r="D22" s="57" t="n">
        <x:f>COUNTIFS(Annotations!$E:$E,A22,Annotations!$I:$I,"Benchmark")</x:f>
        <x:v>0</x:v>
      </x:c>
    </x:row>
    <x:row r="23">
      <x:c r="A23" s="57" t="n">
        <x:v>2025</x:v>
      </x:c>
      <x:c r="B23" s="57" t="n">
        <x:f>COUNTIFS(Annotations!$E:$E,A23,Annotations!$I:$I,"Method")</x:f>
        <x:v>0</x:v>
      </x:c>
      <x:c r="C23" s="57" t="n">
        <x:f>COUNTIFS(Annotations!$E:$E,A23,Annotations!$I:$I,"Survey")</x:f>
        <x:v>0</x:v>
      </x:c>
      <x:c r="D23" s="57" t="n">
        <x:f>COUNTIFS(Annotations!$E:$E,A23,Annotations!$I:$I,"Benchmark")</x:f>
        <x:v>0</x:v>
      </x:c>
    </x:row>
    <x:row r="24">
      <x:c r="A24" s="57" t="n">
        <x:v>2026</x:v>
      </x:c>
      <x:c r="B24" s="57" t="n">
        <x:f>COUNTIFS(Annotations!$E:$E,A24,Annotations!$I:$I,"Method")</x:f>
        <x:v>1</x:v>
      </x:c>
      <x:c r="C24" s="57" t="n">
        <x:f>COUNTIFS(Annotations!$E:$E,A24,Annotations!$I:$I,"Survey")</x:f>
        <x:v>0</x:v>
      </x:c>
      <x:c r="D24" s="57" t="n">
        <x:f>COUNTIFS(Annotations!$E:$E,A24,Annotations!$I:$I,"Benchmark")</x:f>
        <x:v>0</x:v>
      </x:c>
    </x:row>
    <x:row r="27">
      <x:c r="A27" s="48" t="str">
        <x:v>World-model status</x:v>
      </x:c>
      <x:c r="B27" s="48" t="str">
        <x:v>Method count</x:v>
      </x:c>
      <x:c r="C27" s="48" t="str">
        <x:v>Interpretation</x:v>
      </x:c>
    </x:row>
    <x:row r="28">
      <x:c r="A28" s="13" t="str">
        <x:v>Yes</x:v>
      </x:c>
      <x:c r="B28" s="13" t="n">
        <x:f>COUNTIFS(Annotations!$I:$I,"Method",Annotations!$S:$S,A28)</x:f>
        <x:v>2</x:v>
      </x:c>
      <x:c r="C28" s="13" t="str">
        <x:v>Strict predictive environment model</x:v>
      </x:c>
    </x:row>
    <x:row r="29">
      <x:c r="A29" s="13" t="str">
        <x:v>Ambiguous</x:v>
      </x:c>
      <x:c r="B29" s="13" t="n">
        <x:f>COUNTIFS(Annotations!$I:$I,"Method",Annotations!$S:$S,A29)</x:f>
        <x:v>0</x:v>
      </x:c>
      <x:c r="C29" s="13" t="str">
        <x:v>World-model terminology without explicit environment prediction</x:v>
      </x:c>
    </x:row>
    <x:row r="30">
      <x:c r="A30" s="13" t="str">
        <x:v>No</x:v>
      </x:c>
      <x:c r="B30" s="13" t="n">
        <x:f>COUNTIFS(Annotations!$I:$I,"Method",Annotations!$S:$S,A30)</x:f>
        <x:v>2</x:v>
      </x:c>
      <x:c r="C30" s="13" t="str">
        <x:v>No learned predictive environment model</x:v>
      </x:c>
    </x:row>
  </x:sheetData>
  <x:mergeCells>
    <x:mergeCell ref="A1:H2"/>
    <x:mergeCell ref="D4:G4"/>
    <x:mergeCell ref="D5:G11"/>
  </x:mergeCells>
  <x:pageMargins left="0.7" right="0.7" top="0.75" bottom="0.75" header="0.3" footer="0.3"/>
  <x:drawing xmlns:r="http://schemas.openxmlformats.org/officeDocument/2006/relationships" r:id="R1ca274789f314c9d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34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34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28" hidden="0" customWidth="1"/>
    <x:col min="38" max="38" width="28" hidden="0" customWidth="1"/>
    <x:col min="39" max="39" width="18" hidden="0" customWidth="1"/>
    <x:col min="40" max="40" width="28" hidden="0" customWidth="1"/>
    <x:col min="41" max="41" width="18" hidden="0" customWidth="1"/>
    <x:col min="42" max="42" width="18" hidden="0" customWidth="1"/>
    <x:col min="43" max="43" width="18" hidden="0" customWidth="1"/>
    <x:col min="44" max="44" width="34" hidden="0" customWidth="1"/>
    <x:col min="45" max="45" width="34" hidden="0" customWidth="1"/>
    <x:col min="46" max="46" width="34" hidden="0" customWidth="1"/>
    <x:col min="47" max="47" width="34" hidden="0" customWidth="1"/>
    <x:col min="48" max="48" width="34" hidden="0" customWidth="1"/>
    <x:col min="49" max="49" width="34" hidden="0" customWidth="1"/>
    <x:col min="50" max="50" width="34" hidden="0" customWidth="1"/>
    <x:col min="51" max="51" width="18" hidden="0" customWidth="1"/>
    <x:col min="52" max="52" width="34" hidden="0" customWidth="1"/>
    <x:col min="53" max="53" width="28" hidden="0" customWidth="1"/>
  </x:cols>
  <x:sheetData>
    <x:row r="1">
      <x:c r="A1" s="6" t="str">
        <x:v>batch_id</x:v>
      </x:c>
      <x:c r="B1" s="6" t="str">
        <x:v>paper_id</x:v>
      </x:c>
      <x:c r="C1" s="6" t="str">
        <x:v>title</x:v>
      </x:c>
      <x:c r="D1" s="6" t="str">
        <x:v>authors</x:v>
      </x:c>
      <x:c r="E1" s="6" t="str">
        <x:v>year</x:v>
      </x:c>
      <x:c r="F1" s="6" t="str">
        <x:v>year_basis</x:v>
      </x:c>
      <x:c r="G1" s="6" t="str">
        <x:v>venue</x:v>
      </x:c>
      <x:c r="H1" s="6" t="str">
        <x:v>publication_status</x:v>
      </x:c>
      <x:c r="I1" s="6" t="str">
        <x:v>paper_type</x:v>
      </x:c>
      <x:c r="J1" s="6" t="str">
        <x:v>citation_count</x:v>
      </x:c>
      <x:c r="K1" s="6" t="str">
        <x:v>doi_or_identifier</x:v>
      </x:c>
      <x:c r="L1" s="6" t="str">
        <x:v>open_source</x:v>
      </x:c>
      <x:c r="M1" s="6" t="str">
        <x:v>open_source_notes</x:v>
      </x:c>
      <x:c r="N1" s="6" t="str">
        <x:v>task_domain</x:v>
      </x:c>
      <x:c r="O1" s="6" t="str">
        <x:v>primary_problem</x:v>
      </x:c>
      <x:c r="P1" s="6" t="str">
        <x:v>long_horizon</x:v>
      </x:c>
      <x:c r="Q1" s="6" t="str">
        <x:v>language_conditioned</x:v>
      </x:c>
      <x:c r="R1" s="6" t="str">
        <x:v>human_robot_interaction</x:v>
      </x:c>
      <x:c r="S1" s="6" t="str">
        <x:v>uses_world_model</x:v>
      </x:c>
      <x:c r="T1" s="6" t="str">
        <x:v>world_model_family</x:v>
      </x:c>
      <x:c r="U1" s="6" t="str">
        <x:v>world_model_detail</x:v>
      </x:c>
      <x:c r="V1" s="6" t="str">
        <x:v>predictive_space</x:v>
      </x:c>
      <x:c r="W1" s="6" t="str">
        <x:v>prediction_target</x:v>
      </x:c>
      <x:c r="X1" s="6" t="str">
        <x:v>action_conditioned</x:v>
      </x:c>
      <x:c r="Y1" s="6" t="str">
        <x:v>video_prediction</x:v>
      </x:c>
      <x:c r="Z1" s="6" t="str">
        <x:v>uses_planning</x:v>
      </x:c>
      <x:c r="AA1" s="6" t="str">
        <x:v>planning_method</x:v>
      </x:c>
      <x:c r="AB1" s="6" t="str">
        <x:v>planning_representation</x:v>
      </x:c>
      <x:c r="AC1" s="6" t="str">
        <x:v>planning_horizon</x:v>
      </x:c>
      <x:c r="AD1" s="6" t="str">
        <x:v>horizon_basis</x:v>
      </x:c>
      <x:c r="AE1" s="6" t="str">
        <x:v>hierarchical_planning</x:v>
      </x:c>
      <x:c r="AF1" s="6" t="str">
        <x:v>replanning_online</x:v>
      </x:c>
      <x:c r="AG1" s="6" t="str">
        <x:v>planning_role</x:v>
      </x:c>
      <x:c r="AH1" s="6" t="str">
        <x:v>learning_type</x:v>
      </x:c>
      <x:c r="AI1" s="6" t="str">
        <x:v>policy_type</x:v>
      </x:c>
      <x:c r="AJ1" s="6" t="str">
        <x:v>pretraining</x:v>
      </x:c>
      <x:c r="AK1" s="6" t="str">
        <x:v>observation_modality</x:v>
      </x:c>
      <x:c r="AL1" s="6" t="str">
        <x:v>goal_representation</x:v>
      </x:c>
      <x:c r="AM1" s="6" t="str">
        <x:v>action_space</x:v>
      </x:c>
      <x:c r="AN1" s="6" t="str">
        <x:v>benchmark</x:v>
      </x:c>
      <x:c r="AO1" s="6" t="str">
        <x:v>robot_platform</x:v>
      </x:c>
      <x:c r="AP1" s="6" t="str">
        <x:v>simulation</x:v>
      </x:c>
      <x:c r="AQ1" s="6" t="str">
        <x:v>real_robot</x:v>
      </x:c>
      <x:c r="AR1" s="6" t="str">
        <x:v>main_contribution</x:v>
      </x:c>
      <x:c r="AS1" s="6" t="str">
        <x:v>novelty</x:v>
      </x:c>
      <x:c r="AT1" s="6" t="str">
        <x:v>limitations</x:v>
      </x:c>
      <x:c r="AU1" s="6" t="str">
        <x:v>future_work</x:v>
      </x:c>
      <x:c r="AV1" s="6" t="str">
        <x:v>evidence_world_model</x:v>
      </x:c>
      <x:c r="AW1" s="6" t="str">
        <x:v>evidence_planning</x:v>
      </x:c>
      <x:c r="AX1" s="6" t="str">
        <x:v>evidence_horizon</x:v>
      </x:c>
      <x:c r="AY1" s="6" t="str">
        <x:v>confidence</x:v>
      </x:c>
      <x:c r="AZ1" s="6" t="str">
        <x:v>review_flags</x:v>
      </x:c>
      <x:c r="BA1" s="6" t="str">
        <x:v>source_document</x:v>
      </x:c>
    </x:row>
    <x:row r="2">
      <x:c r="A2" s="13" t="str">
        <x:v>batch_05</x:v>
      </x:c>
      <x:c r="B2" s="13" t="str">
        <x:v>B05-001</x:v>
      </x:c>
      <x:c r="C2" s="13" t="str">
        <x:v>Hierarchical World Models as Visual Whole-Body Humanoid Controllers</x:v>
      </x:c>
      <x:c r="D2" s="13" t="str">
        <x:v>Nicklas Hansen; Jyothir S V; Vlad Sobal; Yann LeCun; Xiaolong Wang; Hao Su</x:v>
      </x:c>
      <x:c r="E2" s="13" t="n">
        <x:v>2024</x:v>
      </x:c>
      <x:c r="F2" s="13" t="str">
        <x:v>First public appearance: arXiv:2405.18418 in May 2024; published at ICLR 2025</x:v>
      </x:c>
      <x:c r="G2" s="13" t="str">
        <x:v>International Conference on Learning Representations (ICLR)</x:v>
      </x:c>
      <x:c r="H2" s="13" t="str">
        <x:v>Peer-reviewed conference article</x:v>
      </x:c>
      <x:c r="I2" s="13" t="str">
        <x:v>Method</x:v>
      </x:c>
      <x:c r="J2" s="13" t="str"/>
      <x:c r="K2" s="13" t="str">
        <x:v>arXiv:2405.18418</x:v>
      </x:c>
      <x:c r="L2" s="13" t="str">
        <x:v>Yes</x:v>
      </x:c>
      <x:c r="M2" s="13" t="str">
        <x:v>Code, environments, and checkpoints are released through the Puppeteer project page.</x:v>
      </x:c>
      <x:c r="N2" s="13" t="str">
        <x:v>Humanoid Control; Locomotion; General Robotics</x:v>
      </x:c>
      <x:c r="O2" s="13" t="str">
        <x:v>World Modeling; Model-Based Reinforcement Learning; Hierarchical Control</x:v>
      </x:c>
      <x:c r="P2" s="13" t="str">
        <x:v>No / Unclear</x:v>
      </x:c>
      <x:c r="Q2" s="13" t="str">
        <x:v>No</x:v>
      </x:c>
      <x:c r="R2" s="13" t="str">
        <x:v>No</x:v>
      </x:c>
      <x:c r="S2" s="13" t="str">
        <x:v>Yes</x:v>
      </x:c>
      <x:c r="T2" s="13" t="str">
        <x:v>Latent Dynamics</x:v>
      </x:c>
      <x:c r="U2" s="13" t="str">
        <x:v>Two independently trained TD-MPC2 decoder-free latent world models: a high-level visual puppeteer and a reusable low-level motion-tracking controller.</x:v>
      </x:c>
      <x:c r="V2" s="13" t="str">
        <x:v>Latent</x:v>
      </x:c>
      <x:c r="W2" s="13" t="str">
        <x:v>Next latent state; reward; termination; terminal value</x:v>
      </x:c>
      <x:c r="X2" s="13" t="str">
        <x:v>Yes</x:v>
      </x:c>
      <x:c r="Y2" s="13" t="str">
        <x:v>No</x:v>
      </x:c>
      <x:c r="Z2" s="13" t="str">
        <x:v>Yes</x:v>
      </x:c>
      <x:c r="AA2" s="13" t="str">
        <x:v>MPC; Hierarchical; MPPI</x:v>
      </x:c>
      <x:c r="AB2" s="13" t="str">
        <x:v>Latent</x:v>
      </x:c>
      <x:c r="AC2" s="13" t="str">
        <x:v>Short</x:v>
      </x:c>
      <x:c r="AD2" s="13" t="str">
        <x:v>Both levels use TD-MPC2 planning with H=3; the hierarchy is architectural rather than a long temporal abstraction.</x:v>
      </x:c>
      <x:c r="AE2" s="13" t="str">
        <x:v>Yes</x:v>
      </x:c>
      <x:c r="AF2" s="13" t="str">
        <x:v>Yes</x:v>
      </x:c>
      <x:c r="AG2" s="13" t="str">
        <x:v>Full End-to-End Planner</x:v>
      </x:c>
      <x:c r="AH2" s="13" t="str">
        <x:v>Online Model-Based Reinforcement Learning; Motion-Capture Pretraining</x:v>
      </x:c>
      <x:c r="AI2" s="13" t="str">
        <x:v>Hierarchical TD-MPC2 controller with policy priors</x:v>
      </x:c>
      <x:c r="AJ2" s="13" t="str">
        <x:v>Yes — the low-level tracking model is pretrained on retargeted CMU motion-capture data</x:v>
      </x:c>
      <x:c r="AK2" s="13" t="str">
        <x:v>RGB; proprioception; contact sensing; abstract reference commands</x:v>
      </x:c>
      <x:c r="AL2" s="13" t="str">
        <x:v>Reward-defined locomotion task; geometric end-effector reference command</x:v>
      </x:c>
      <x:c r="AM2" s="13" t="str">
        <x:v>Continuous: 56-dimensional joint control at the low level and 15-dimensional geometric commands at the high level</x:v>
      </x:c>
      <x:c r="AN2" s="13" t="str">
        <x:v>Custom 8-task visual whole-body humanoid-control suite: corridor, hurdles, walls, gaps, stairs, stand, walk, run</x:v>
      </x:c>
      <x:c r="AO2" s="13" t="str">
        <x:v>Simulated 56-DoF CMU Humanoid in DM Control / MuJoCo</x:v>
      </x:c>
      <x:c r="AP2" s="13" t="str">
        <x:v>Yes</x:v>
      </x:c>
      <x:c r="AQ2" s="13" t="str">
        <x:v>No</x:v>
      </x:c>
      <x:c r="AR2" s="13" t="str">
        <x:v>Introduces a two-level latent world-model controller that converts visual task observations into reusable geometric motion commands and joint-level humanoid control.</x:v>
      </x:c>
      <x:c r="AS2" s="13" t="str">
        <x:v>Uses algorithmically identical TD-MPC2 world models at both hierarchy levels while learning human-like motion without hand-designed skill primitives or imitation rewards.</x:v>
      </x:c>
      <x:c r="AT2" s="13" t="str">
        <x:v>Evaluation is simulation-only and primarily locomotion-focused; the hierarchy has only two levels, and most experiments pretrain only the low-level model.</x:v>
      </x:c>
      <x:c r="AU2" s="13" t="str">
        <x:v>Broaden the task suite and study pretraining, transfer, and reuse of the complete hierarchical world model.</x:v>
      </x:c>
      <x:c r="AV2" s="13" t="str">
        <x:v>Each level learns an action-conditioned latent transition, reward, value, termination, and policy-prior model without reconstructing raw observations.</x:v>
      </x:c>
      <x:c r="AW2" s="13" t="str">
        <x:v>Both the high-level command sequence and low-level joint-action sequence are optimized with TD-MPC2's MPPI-based MPC.</x:v>
      </x:c>
      <x:c r="AX2" s="13" t="str">
        <x:v>The planner horizon is H=3 and episodes can last 500 steps; the tasks are sustained control rather than task-level long-horizon decomposition.</x:v>
      </x:c>
      <x:c r="AY2" s="13" t="str">
        <x:v>High</x:v>
      </x:c>
      <x:c r="AZ2" s="13" t="str">
        <x:v>Core hierarchical world-model paper, but not long-horizon manipulation; keep task horizon separate from its two-level architecture.</x:v>
      </x:c>
      <x:c r="BA2" s="13" t="str">
        <x:v>Hierarchical World Models as Visual Whole-Body Humanoid Controllers.txt</x:v>
      </x:c>
    </x:row>
    <x:row r="3">
      <x:c r="A3" s="13" t="str">
        <x:v>batch_05</x:v>
      </x:c>
      <x:c r="B3" s="13" t="str">
        <x:v>B05-002</x:v>
      </x:c>
      <x:c r="C3" s="13" t="str">
        <x:v>IKEA Furniture Assembly Environment for Long-Horizon Complex Manipulation Tasks</x:v>
      </x:c>
      <x:c r="D3" s="13" t="str">
        <x:v>Youngwoon Lee; Edward S. Hu; Zhengyu Yang; Alex Yin; Joseph J. Lim</x:v>
      </x:c>
      <x:c r="E3" s="13" t="n">
        <x:v>2019</x:v>
      </x:c>
      <x:c r="F3" s="13" t="str">
        <x:v>First public appearance: arXiv:1911.07246 on 17 Nov 2019</x:v>
      </x:c>
      <x:c r="G3" s="13" t="str">
        <x:v>arXiv</x:v>
      </x:c>
      <x:c r="H3" s="13" t="str">
        <x:v>Preprint</x:v>
      </x:c>
      <x:c r="I3" s="13" t="str">
        <x:v>Benchmark</x:v>
      </x:c>
      <x:c r="J3" s="13" t="str"/>
      <x:c r="K3" s="13" t="str">
        <x:v>arXiv:1911.07246</x:v>
      </x:c>
      <x:c r="L3" s="13" t="str">
        <x:v>Yes</x:v>
      </x:c>
      <x:c r="M3" s="13" t="str">
        <x:v>The simulation environment is publicly released through the project website.</x:v>
      </x:c>
      <x:c r="N3" s="13" t="str">
        <x:v>Long-Horizon Manipulation; Furniture Assembly</x:v>
      </x:c>
      <x:c r="O3" s="13" t="str">
        <x:v>Benchmark; Simulation Environment; Planning; Control</x:v>
      </x:c>
      <x:c r="P3" s="13" t="str">
        <x:v>Yes</x:v>
      </x:c>
      <x:c r="Q3" s="13" t="str">
        <x:v>No</x:v>
      </x:c>
      <x:c r="R3" s="13" t="str">
        <x:v>No</x:v>
      </x:c>
      <x:c r="S3" s="13" t="str">
        <x:v>No</x:v>
      </x:c>
      <x:c r="T3" s="13" t="str">
        <x:v>None</x:v>
      </x:c>
      <x:c r="U3" s="13" t="str">
        <x:v>N/A — the contribution is a configurable simulation environment rather than a learned predictive model.</x:v>
      </x:c>
      <x:c r="V3" s="13" t="str">
        <x:v>N/A</x:v>
      </x:c>
      <x:c r="W3" s="13" t="str">
        <x:v>N/A</x:v>
      </x:c>
      <x:c r="X3" s="13" t="str">
        <x:v>N/A</x:v>
      </x:c>
      <x:c r="Y3" s="13" t="str">
        <x:v>No</x:v>
      </x:c>
      <x:c r="Z3" s="13" t="str">
        <x:v>No — no new planner is proposed</x:v>
      </x:c>
      <x:c r="AA3" s="13" t="str">
        <x:v>None</x:v>
      </x:c>
      <x:c r="AB3" s="13" t="str">
        <x:v>N/A</x:v>
      </x:c>
      <x:c r="AC3" s="13" t="str">
        <x:v>N/A</x:v>
      </x:c>
      <x:c r="AD3" s="13" t="str">
        <x:v>Furniture assembly is explicitly hierarchical and long-horizon, but the paper contributes the environment rather than a planning algorithm.</x:v>
      </x:c>
      <x:c r="AE3" s="13" t="str">
        <x:v>N/A — the benchmark task has a hierarchical structure</x:v>
      </x:c>
      <x:c r="AF3" s="13" t="str">
        <x:v>N/A</x:v>
      </x:c>
      <x:c r="AG3" s="13" t="str">
        <x:v>N/A</x:v>
      </x:c>
      <x:c r="AH3" s="13" t="str">
        <x:v>Benchmark Environment; Reinforcement Learning Testbed</x:v>
      </x:c>
      <x:c r="AI3" s="13" t="str">
        <x:v>N/A</x:v>
      </x:c>
      <x:c r="AJ3" s="13" t="str">
        <x:v>N/A</x:v>
      </x:c>
      <x:c r="AK3" s="13" t="str">
        <x:v>RGB; segmentation; depth; goal image; robot joint state; scene-graph and pose labels</x:v>
      </x:c>
      <x:c r="AL3" s="13" t="str">
        <x:v>Completed furniture configuration / goal image</x:v>
      </x:c>
      <x:c r="AM3" s="13" t="str">
        <x:v>Joint torque or task-space control; motion primitives; explicit connect action</x:v>
      </x:c>
      <x:c r="AN3" s="13" t="str">
        <x:v>IKEA Furniture Assembly Environment with more than 80 furniture models</x:v>
      </x:c>
      <x:c r="AO3" s="13" t="str">
        <x:v>Sawyer; Baxter; Cursor agent</x:v>
      </x:c>
      <x:c r="AP3" s="13" t="str">
        <x:v>Yes</x:v>
      </x:c>
      <x:c r="AQ3" s="13" t="str">
        <x:v>No</x:v>
      </x:c>
      <x:c r="AR3" s="13" t="str">
        <x:v>Provides an early standardized simulation environment for long-horizon furniture assembly with realistic rendering, diverse robots, and extensive domain randomization.</x:v>
      </x:c>
      <x:c r="AS3" s="13" t="str">
        <x:v>Combines MuJoCo physics and Unity rendering with more than 80 furniture models and hierarchical assembly tasks spanning part selection, grasping, alignment, and attachment.</x:v>
      </x:c>
      <x:c r="AT3" s="13" t="str">
        <x:v>Screwing and attachment are abstracted as connector snapping, identical parts are not interchangeable, and the environment does not directly establish real-world transfer.</x:v>
      </x:c>
      <x:c r="AU3" s="13" t="str">
        <x:v>Add realistic attachment and tool use, more robot and gripper types, multi-agent assembly, teleoperation demonstrations, and language or visual instructions.</x:v>
      </x:c>
      <x:c r="AV3" s="13" t="str">
        <x:v>The paper suggests model-based RL as future work but does not learn or evaluate a world model.</x:v>
      </x:c>
      <x:c r="AW3" s="13" t="str">
        <x:v>The environment is designed for high-level planning and hierarchical RL, but no planner is introduced in the paper.</x:v>
      </x:c>
      <x:c r="AX3" s="13" t="str">
        <x:v>Assembly repeatedly selects, grasps, aligns, and attaches parts until the full furniture object is complete.</x:v>
      </x:c>
      <x:c r="AY3" s="13" t="str">
        <x:v>High</x:v>
      </x:c>
      <x:c r="AZ3" s="13" t="str">
        <x:v>Precursor benchmark to FurnitureBench; keep as a distinct simulation-only 2019 entry rather than treating it as a duplicate.</x:v>
      </x:c>
      <x:c r="BA3" s="13" t="str">
        <x:v>IKEA Furniture Assembly Environment for Long-Horizon Complex Manipulation Tasks.txt</x:v>
      </x:c>
    </x:row>
    <x:row r="4">
      <x:c r="A4" s="13" t="str">
        <x:v>batch_05</x:v>
      </x:c>
      <x:c r="B4" s="13" t="str">
        <x:v>B05-003</x:v>
      </x:c>
      <x:c r="C4" s="13" t="str">
        <x:v>Inner Monologue: Embodied Reasoning through Planning with Language Models</x:v>
      </x:c>
      <x:c r="D4" s="13" t="str">
        <x:v>Wenlong Huang; Fei Xia; Ted Xiao; Harris Chan; Jacky Liang; Pete Florence; Andy Zeng; Jonathan Tompson; Igor Mordatch; Yevgen Chebotar; Pierre Sermanet; Noah Brown; Tomas Jackson; Linda Luu; Sergey Levine; Karol Hausman; Brian Ichter</x:v>
      </x:c>
      <x:c r="E4" s="13" t="n">
        <x:v>2022</x:v>
      </x:c>
      <x:c r="F4" s="13" t="str">
        <x:v>First public appearance: arXiv:2207.05608 in July 2022; published in the CoRL 2022 proceedings released in 2023</x:v>
      </x:c>
      <x:c r="G4" s="13" t="str">
        <x:v>Conference on Robot Learning (CoRL)</x:v>
      </x:c>
      <x:c r="H4" s="13" t="str">
        <x:v>Peer-reviewed conference article</x:v>
      </x:c>
      <x:c r="I4" s="13" t="str">
        <x:v>Method</x:v>
      </x:c>
      <x:c r="J4" s="13" t="str"/>
      <x:c r="K4" s="13" t="str">
        <x:v>arXiv:2207.05608; PMLR 205</x:v>
      </x:c>
      <x:c r="L4" s="13" t="str">
        <x:v>Yes</x:v>
      </x:c>
      <x:c r="M4" s="13" t="str">
        <x:v>Project website provides paper, videos, and supplementary material; no end-to-end code release was established from the supplied manuscript.</x:v>
      </x:c>
      <x:c r="N4" s="13" t="str">
        <x:v>Manipulation; Mobile Manipulation; Embodied AI</x:v>
      </x:c>
      <x:c r="O4" s="13" t="str">
        <x:v>Planning; Embodied Reasoning; Closed-Loop Language Feedback</x:v>
      </x:c>
      <x:c r="P4" s="13" t="str">
        <x:v>Yes</x:v>
      </x:c>
      <x:c r="Q4" s="13" t="str">
        <x:v>Yes</x:v>
      </x:c>
      <x:c r="R4" s="13" t="str">
        <x:v>Yes</x:v>
      </x:c>
      <x:c r="S4" s="13" t="str">
        <x:v>No</x:v>
      </x:c>
      <x:c r="T4" s="13" t="str">
        <x:v>None</x:v>
      </x:c>
      <x:c r="U4" s="13" t="str">
        <x:v>N/A — the system grounds a frozen LLM with textual feedback, value functions, perception modules, and pretrained skills rather than learned environment dynamics.</x:v>
      </x:c>
      <x:c r="V4" s="13" t="str">
        <x:v>N/A</x:v>
      </x:c>
      <x:c r="W4" s="13" t="str">
        <x:v>N/A</x:v>
      </x:c>
      <x:c r="X4" s="13" t="str">
        <x:v>N/A</x:v>
      </x:c>
      <x:c r="Y4" s="13" t="str">
        <x:v>No</x:v>
      </x:c>
      <x:c r="Z4" s="13" t="str">
        <x:v>Yes</x:v>
      </x:c>
      <x:c r="AA4" s="13" t="str">
        <x:v>Language Planner; Hierarchical</x:v>
      </x:c>
      <x:c r="AB4" s="13" t="str">
        <x:v>Symbolic language / skill sequence</x:v>
      </x:c>
      <x:c r="AC4" s="13" t="str">
        <x:v>Long</x:v>
      </x:c>
      <x:c r="AD4" s="13" t="str">
        <x:v>The LLM iteratively selects short-horizon skills for unseen multi-step tabletop and mobile-manipulation instructions.</x:v>
      </x:c>
      <x:c r="AE4" s="13" t="str">
        <x:v>Yes</x:v>
      </x:c>
      <x:c r="AF4" s="13" t="str">
        <x:v>Yes</x:v>
      </x:c>
      <x:c r="AG4" s="13" t="str">
        <x:v>High-Level Planner</x:v>
      </x:c>
      <x:c r="AH4" s="13" t="str">
        <x:v>Few-Shot Prompting; Pretrained Skill Composition</x:v>
      </x:c>
      <x:c r="AI4" s="13" t="str">
        <x:v>Skill Library</x:v>
      </x:c>
      <x:c r="AJ4" s="13" t="str">
        <x:v>Yes — frozen LLMs, perception models, affordance/value functions, and low-level policies</x:v>
      </x:c>
      <x:c r="AK4" s="13" t="str">
        <x:v>Language; RGB or RGB-D; textual scene descriptions; success detectors; human feedback</x:v>
      </x:c>
      <x:c r="AL4" s="13" t="str">
        <x:v>Natural-language instruction</x:v>
      </x:c>
      <x:c r="AM4" s="13" t="str">
        <x:v>Discrete selection from pretrained manipulation and navigation skills</x:v>
      </x:c>
      <x:c r="AN4" s="13" t="str">
        <x:v>Simulated tabletop rearrangement; real UR5e tabletop rearrangement; real office-kitchen mobile manipulation</x:v>
      </x:c>
      <x:c r="AO4" s="13" t="str">
        <x:v>UR5e; Everyday Robots mobile manipulator; simulated tabletop robot</x:v>
      </x:c>
      <x:c r="AP4" s="13" t="str">
        <x:v>Yes</x:v>
      </x:c>
      <x:c r="AQ4" s="13" t="str">
        <x:v>Yes</x:v>
      </x:c>
      <x:c r="AR4" s="13" t="str">
        <x:v>Closes the LLM planning loop by continually injecting textual success, scene, and human feedback so the robot can retry, replan, and ask clarifying questions.</x:v>
      </x:c>
      <x:c r="AS4" s="13" t="str">
        <x:v>Uses natural language as a common feedback interface across multiple LLM planners, perception systems, skill libraries, simulations, and real robots without additional model training.</x:v>
      </x:c>
      <x:c r="AT4" s="13" t="str">
        <x:v>Some experiments assume oracle scene descriptions; failures can arise from success detectors, LLM plans, or controllers, and overall capability remains bounded by the low-level skill library.</x:v>
      </x:c>
      <x:c r="AU4" s="13" t="str">
        <x:v>Automate scene feedback with captioning and VQA, represent feedback uncertainty, and add safety and ethics feedback modules.</x:v>
      </x:c>
      <x:c r="AV4" s="13" t="str">
        <x:v>The planner reacts to textual observations but does not learn an action-conditioned predictive model of the environment.</x:v>
      </x:c>
      <x:c r="AW4" s="13" t="str">
        <x:v>A pretrained LLM selects and sequences short-horizon skills, then incorporates success and scene feedback before producing subsequent steps.</x:v>
      </x:c>
      <x:c r="AX4" s="13" t="str">
        <x:v>The system evaluates unseen long-horizon sorting, navigation, drawer, and mobile-manipulation tasks that require multiple skill calls.</x:v>
      </x:c>
      <x:c r="AY4" s="13" t="str">
        <x:v>High</x:v>
      </x:c>
      <x:c r="AZ4" s="13" t="str">
        <x:v>Core closed-loop long-horizon language-planning paper; distinguish reactive textual feedback from learned world-model prediction.</x:v>
      </x:c>
      <x:c r="BA4" s="13" t="str">
        <x:v>Inner Monologue_ Embodied Reasoning through Planning with Language Models.txt</x:v>
      </x:c>
    </x:row>
    <x:row r="5">
      <x:c r="A5" s="13" t="str">
        <x:v>batch_05</x:v>
      </x:c>
      <x:c r="B5" s="13" t="str">
        <x:v>B05-004</x:v>
      </x:c>
      <x:c r="C5" s="13" t="str">
        <x:v>IntentVLA: Short-Horizon Intent Modeling for Aliased Robot Manipulation</x:v>
      </x:c>
      <x:c r="D5" s="13" t="str">
        <x:v>Shijie Lian; Bin Yu; Xiaopeng Lin; Zhaolong Shen; Laurence Tianruo Yang; Yurun Jin; Haishan Liu; Changti Wu; Hang Yuan; Cong Huang; Kai Chen</x:v>
      </x:c>
      <x:c r="E5" s="13" t="n">
        <x:v>2026</x:v>
      </x:c>
      <x:c r="F5" s="13" t="str">
        <x:v>First public appearance: arXiv:2605.14712 on 14 May 2026</x:v>
      </x:c>
      <x:c r="G5" s="13" t="str">
        <x:v>arXiv</x:v>
      </x:c>
      <x:c r="H5" s="13" t="str">
        <x:v>Work in progress / preprint</x:v>
      </x:c>
      <x:c r="I5" s="13" t="str">
        <x:v>Method</x:v>
      </x:c>
      <x:c r="J5" s="13" t="str"/>
      <x:c r="K5" s="13" t="str">
        <x:v>arXiv:2605.14712</x:v>
      </x:c>
      <x:c r="L5" s="13" t="str">
        <x:v>Yes</x:v>
      </x:c>
      <x:c r="M5" s="13" t="str">
        <x:v>The manuscript links a public GitHub repository.</x:v>
      </x:c>
      <x:c r="N5" s="13" t="str">
        <x:v>Manipulation; Vision-Language-Action Control</x:v>
      </x:c>
      <x:c r="O5" s="13" t="str">
        <x:v>Policy Learning; Partial Observability; Short-Horizon Intent Modeling</x:v>
      </x:c>
      <x:c r="P5" s="13" t="str">
        <x:v>No</x:v>
      </x:c>
      <x:c r="Q5" s="13" t="str">
        <x:v>Yes</x:v>
      </x:c>
      <x:c r="R5" s="13" t="str">
        <x:v>No</x:v>
      </x:c>
      <x:c r="S5" s="13" t="str">
        <x:v>No</x:v>
      </x:c>
      <x:c r="T5" s="13" t="str">
        <x:v>None</x:v>
      </x:c>
      <x:c r="U5" s="13" t="str">
        <x:v>A frozen VGGT history encoder and Qwen3-VL context produce an intent-conditioned representation for a DiT flow-matching action head; no future environment state is predicted.</x:v>
      </x:c>
      <x:c r="V5" s="13" t="str">
        <x:v>N/A</x:v>
      </x:c>
      <x:c r="W5" s="13" t="str">
        <x:v>Future action chunk</x:v>
      </x:c>
      <x:c r="X5" s="13" t="str">
        <x:v>No</x:v>
      </x:c>
      <x:c r="Y5" s="13" t="str">
        <x:v>No</x:v>
      </x:c>
      <x:c r="Z5" s="13" t="str">
        <x:v>No</x:v>
      </x:c>
      <x:c r="AA5" s="13" t="str">
        <x:v>None — receding-horizon policy execution without explicit search or model rollout</x:v>
      </x:c>
      <x:c r="AB5" s="13" t="str">
        <x:v>N/A</x:v>
      </x:c>
      <x:c r="AC5" s="13" t="str">
        <x:v>None</x:v>
      </x:c>
      <x:c r="AD5" s="13" t="str">
        <x:v>The method stabilizes adjacent action chunks using recent visual history but does not implement a planning algorithm.</x:v>
      </x:c>
      <x:c r="AE5" s="13" t="str">
        <x:v>No</x:v>
      </x:c>
      <x:c r="AF5" s="13" t="str">
        <x:v>Yes — action chunks are regenerated from updated observations and recent history</x:v>
      </x:c>
      <x:c r="AG5" s="13" t="str">
        <x:v>Local Controller</x:v>
      </x:c>
      <x:c r="AH5" s="13" t="str">
        <x:v>Imitation Learning; Flow Matching; Vision-Language Pretraining</x:v>
      </x:c>
      <x:c r="AI5" s="13" t="str">
        <x:v>History-Conditioned VLA / DiT Action Policy</x:v>
      </x:c>
      <x:c r="AJ5" s="13" t="str">
        <x:v>Yes — frozen VGGT and Qwen3-VL components</x:v>
      </x:c>
      <x:c r="AK5" s="13" t="str">
        <x:v>Recent multi-camera RGB history; current RGB; language</x:v>
      </x:c>
      <x:c r="AL5" s="13" t="str">
        <x:v>Natural-language instruction</x:v>
      </x:c>
      <x:c r="AM5" s="13" t="str">
        <x:v>Continuous action chunks</x:v>
      </x:c>
      <x:c r="AN5" s="13" t="str">
        <x:v>AliasBench; SimplerEnv; LIBERO; RoboCasa</x:v>
      </x:c>
      <x:c r="AO5" s="13" t="str">
        <x:v>Simulation-only benchmark-specific manipulators, including RoboTwin2 environments</x:v>
      </x:c>
      <x:c r="AP5" s="13" t="str">
        <x:v>Yes</x:v>
      </x:c>
      <x:c r="AQ5" s="13" t="str">
        <x:v>No</x:v>
      </x:c>
      <x:c r="AR5" s="13" t="str">
        <x:v>Uses compact recent visual history to preserve a demonstrator's local action intent across adjacent VLA action chunks under observation aliasing.</x:v>
      </x:c>
      <x:c r="AS5" s="13" t="str">
        <x:v>Introduces AliasBench and a gated history-to-current-context fusion that avoids feeding all past frames directly through the large VLA backbone.</x:v>
      </x:c>
      <x:c r="AT5" s="13" t="str">
        <x:v>Recent-window intent cannot solve sparse long-term memory or major recovery problems, and all evaluations are simulation-based.</x:v>
      </x:c>
      <x:c r="AU5" s="13" t="str">
        <x:v>Evaluate on physical robots, compare broader memory-centric VLA backbones, and develop interpretable intent probes and adaptive history selection.</x:v>
      </x:c>
      <x:c r="AV5" s="13" t="str">
        <x:v>The model predicts actions conditioned on history; it does not predict future observations, latent environment states, rewards, or dynamics.</x:v>
      </x:c>
      <x:c r="AW5" s="13" t="str">
        <x:v>Receding-horizon chunk sampling is direct policy inference rather than MPC, search, or task decomposition.</x:v>
      </x:c>
      <x:c r="AX5" s="13" t="str">
        <x:v>The paper explicitly targets short-horizon ambiguity and states that it is not a complete solution to long-term memory or planning.</x:v>
      </x:c>
      <x:c r="AY5" s="13" t="str">
        <x:v>High</x:v>
      </x:c>
      <x:c r="AZ5" s="13" t="str">
        <x:v>VLA policy and benchmark paper; exclude from world-model and explicit-planning counts despite its temporal history module.</x:v>
      </x:c>
      <x:c r="BA5" s="13" t="str">
        <x:v>IntentVLA_ Short-Horizon Intent Modeling for Aliased Robot Manipulation.txt</x:v>
      </x:c>
    </x:row>
    <x:row r="6">
      <x:c r="A6" s="13" t="str">
        <x:v>batch_05</x:v>
      </x:c>
      <x:c r="B6" s="13" t="str">
        <x:v>B05-005</x:v>
      </x:c>
      <x:c r="C6" s="13" t="str">
        <x:v>IQL-TD-MPC: Implicit Q-Learning for Hierarchical Model Predictive Control</x:v>
      </x:c>
      <x:c r="D6" s="13" t="str">
        <x:v>Rohan Chitnis; Yingchen Xu; Bobak Hashemi; Lucas Lehnert; Urun Dogan; Zheqing Zhu; Olivier Delalleau</x:v>
      </x:c>
      <x:c r="E6" s="13" t="n">
        <x:v>2023</x:v>
      </x:c>
      <x:c r="F6" s="13" t="str">
        <x:v>First public appearance: arXiv:2306.00867 on 1 Jun 2023</x:v>
      </x:c>
      <x:c r="G6" s="13" t="str">
        <x:v>arXiv</x:v>
      </x:c>
      <x:c r="H6" s="13" t="str">
        <x:v>Preprint / under review in supplied manuscript</x:v>
      </x:c>
      <x:c r="I6" s="13" t="str">
        <x:v>Method</x:v>
      </x:c>
      <x:c r="J6" s="13" t="str"/>
      <x:c r="K6" s="13" t="str">
        <x:v>arXiv:2306.00867</x:v>
      </x:c>
      <x:c r="L6" s="13" t="str">
        <x:v>Unknown</x:v>
      </x:c>
      <x:c r="M6" s="13" t="str">
        <x:v>A project website and video results are available, but a dedicated code release was not established from the supplied manuscript.</x:v>
      </x:c>
      <x:c r="N6" s="13" t="str">
        <x:v>Navigation; Locomotion; General Continuous Control</x:v>
      </x:c>
      <x:c r="O6" s="13" t="str">
        <x:v>World Modeling; Offline Reinforcement Learning; Hierarchical Planning</x:v>
      </x:c>
      <x:c r="P6" s="13" t="str">
        <x:v>Yes</x:v>
      </x:c>
      <x:c r="Q6" s="13" t="str">
        <x:v>No</x:v>
      </x:c>
      <x:c r="R6" s="13" t="str">
        <x:v>No</x:v>
      </x:c>
      <x:c r="S6" s="13" t="str">
        <x:v>Yes</x:v>
      </x:c>
      <x:c r="T6" s="13" t="str">
        <x:v>Latent Dynamics</x:v>
      </x:c>
      <x:c r="U6" s="13" t="str">
        <x:v>Offline TD-MPC augmented with Implicit Q-Learning; a temporally abstract manager learns a latent action-conditioned model and generates intent embeddings for an arbitrary offline-RL worker.</x:v>
      </x:c>
      <x:c r="V6" s="13" t="str">
        <x:v>Latent</x:v>
      </x:c>
      <x:c r="W6" s="13" t="str">
        <x:v>Temporally abstract future latent state; reward; value</x:v>
      </x:c>
      <x:c r="X6" s="13" t="str">
        <x:v>Yes</x:v>
      </x:c>
      <x:c r="Y6" s="13" t="str">
        <x:v>No</x:v>
      </x:c>
      <x:c r="Z6" s="13" t="str">
        <x:v>Yes</x:v>
      </x:c>
      <x:c r="AA6" s="13" t="str">
        <x:v>MPC; Hierarchical; CEM</x:v>
      </x:c>
      <x:c r="AB6" s="13" t="str">
        <x:v>Latent</x:v>
      </x:c>
      <x:c r="AC6" s="13" t="str">
        <x:v>Medium</x:v>
      </x:c>
      <x:c r="AD6" s="13" t="str">
        <x:v>The manager plans H=4 abstract steps with temporal coarseness k=8, corresponding to 32 environment steps.</x:v>
      </x:c>
      <x:c r="AE6" s="13" t="str">
        <x:v>Yes</x:v>
      </x:c>
      <x:c r="AF6" s="13" t="str">
        <x:v>Yes — the manager recomputes intent embeddings using MPC during evaluation</x:v>
      </x:c>
      <x:c r="AG6" s="13" t="str">
        <x:v>High-Level Planner</x:v>
      </x:c>
      <x:c r="AH6" s="13" t="str">
        <x:v>Offline Model-Based Reinforcement Learning; Implicit Q-Learning</x:v>
      </x:c>
      <x:c r="AI6" s="13" t="str">
        <x:v>Manager-Worker Offline RL</x:v>
      </x:c>
      <x:c r="AJ6" s="13" t="str">
        <x:v>Yes — the manager is trained offline before worker training and evaluation</x:v>
      </x:c>
      <x:c r="AK6" s="13" t="str">
        <x:v>Low-dimensional environment state</x:v>
      </x:c>
      <x:c r="AL6" s="13" t="str">
        <x:v>Reward-defined objective represented through learned latent intent embeddings</x:v>
      </x:c>
      <x:c r="AM6" s="13" t="str">
        <x:v>Continuous environment actions for workers; discrete latent manager actions</x:v>
      </x:c>
      <x:c r="AN6" s="13" t="str">
        <x:v>D4RL Maze2D; AntMaze; HalfCheetah; Walker2D; Hopper</x:v>
      </x:c>
      <x:c r="AO6" s="13" t="str">
        <x:v>Simulation-only D4RL agents</x:v>
      </x:c>
      <x:c r="AP6" s="13" t="str">
        <x:v>Yes</x:v>
      </x:c>
      <x:c r="AQ6" s="13" t="str">
        <x:v>No</x:v>
      </x:c>
      <x:c r="AR6" s="13" t="str">
        <x:v>Adapts TD-MPC to offline data with IQL and uses a temporally abstract model-based manager to supply latent subgoal-like intent embeddings to arbitrary offline-RL workers.</x:v>
      </x:c>
      <x:c r="AS6" s="13" t="str">
        <x:v>Improves multiple otherwise unchanged worker algorithms through simple state concatenation with manager-generated intent embeddings.</x:v>
      </x:c>
      <x:c r="AT6" s="13" t="str">
        <x:v>Hierarchy harms some fine-grained locomotion tasks, the worker does not explicitly optimize toward the intent, the abstraction timescale is fixed, and manager rollouts are computationally expensive.</x:v>
      </x:c>
      <x:c r="AU6" s="13" t="str">
        <x:v>Use model-based workers, learn adaptive manager timescales, understand harmful intents, and accelerate world-model rollout with more parallel architectures.</x:v>
      </x:c>
      <x:c r="AV6" s="13" t="str">
        <x:v>The manager learns an encoder, action-conditioned latent dynamics, reward model, critic, and policy used for abstract MPC.</x:v>
      </x:c>
      <x:c r="AW6" s="13" t="str">
        <x:v>CEM-based MPC optimizes manager action sequences whose resulting latent intent is concatenated to the worker state.</x:v>
      </x:c>
      <x:c r="AX6" s="13" t="str">
        <x:v>Although H=4 is short in abstract steps, k=8 makes it a 32-environment-step medium planning horizon on long-horizon sparse-reward tasks.</x:v>
      </x:c>
      <x:c r="AY6" s="13" t="str">
        <x:v>High</x:v>
      </x:c>
      <x:c r="AZ6" s="13" t="str">
        <x:v>Core hierarchical world-model planning paper outside manipulation; task-level long-horizon is Yes while explicit planning_horizon is Medium.</x:v>
      </x:c>
      <x:c r="BA6" s="13" t="str">
        <x:v>IQL-TD-MPC_ Implicit Q-Learning for Hierarchical Model Predictive Control.txt</x:v>
      </x:c>
    </x:row>
  </x:sheetData>
  <x:pageMargins left="0.7" right="0.7" top="0.75" bottom="0.75" header="0.3" footer="0.3"/>
  <x:tableParts count="1">
    <x:tablePart xmlns:r="http://schemas.openxmlformats.org/officeDocument/2006/relationships" r:id="Rb4b50c096fdd42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9" hidden="0" customWidth="1"/>
    <x:col min="3" max="3" width="50" hidden="0" customWidth="1"/>
    <x:col min="4" max="4" width="54" hidden="0" customWidth="1"/>
  </x:cols>
  <x:sheetData>
    <x:row r="1">
      <x:c r="A1" s="20" t="str">
        <x:v>Field</x:v>
      </x:c>
      <x:c r="B1" s="20" t="str">
        <x:v>Definition</x:v>
      </x:c>
      <x:c r="C1" s="20" t="str">
        <x:v>Allowed / normalized values</x:v>
      </x:c>
      <x:c r="D1" s="20" t="str">
        <x:v>Annotation rule</x:v>
      </x:c>
    </x:row>
    <x:row r="2">
      <x:c r="A2" s="13" t="str">
        <x:v>batch_id</x:v>
      </x:c>
      <x:c r="B2" s="13" t="str">
        <x:v>Annotation batch identifier</x:v>
      </x:c>
      <x:c r="C2" s="13" t="str">
        <x:v>batch_01; batch_02; …</x:v>
      </x:c>
      <x:c r="D2" s="13" t="str">
        <x:v>Used for provenance and rollback.</x:v>
      </x:c>
    </x:row>
    <x:row r="3">
      <x:c r="A3" s="13" t="str">
        <x:v>paper_id</x:v>
      </x:c>
      <x:c r="B3" s="13" t="str">
        <x:v>Stable internal identifier</x:v>
      </x:c>
      <x:c r="C3" s="13" t="str">
        <x:v>String</x:v>
      </x:c>
      <x:c r="D3" s="13" t="str">
        <x:v>Unique across all batches.</x:v>
      </x:c>
    </x:row>
    <x:row r="4">
      <x:c r="A4" s="13" t="str">
        <x:v>year</x:v>
      </x:c>
      <x:c r="B4" s="13" t="str">
        <x:v>First public appearance year</x:v>
      </x:c>
      <x:c r="C4" s="13" t="str">
        <x:v>Integer</x:v>
      </x:c>
      <x:c r="D4" s="13" t="str">
        <x:v>Use first public preprint or online-publication year; preserve later venue year in year_basis.</x:v>
      </x:c>
    </x:row>
    <x:row r="5">
      <x:c r="A5" s="13" t="str">
        <x:v>paper_type</x:v>
      </x:c>
      <x:c r="B5" s="13" t="str">
        <x:v>Nature of the paper</x:v>
      </x:c>
      <x:c r="C5" s="13" t="str">
        <x:v>Method; Survey; Benchmark; Dataset</x:v>
      </x:c>
      <x:c r="D5" s="13" t="str">
        <x:v>Benchmark papers are not counted as proposed methods.</x:v>
      </x:c>
    </x:row>
    <x:row r="6">
      <x:c r="A6" s="13" t="str">
        <x:v>long_horizon</x:v>
      </x:c>
      <x:c r="B6" s="13" t="str">
        <x:v>Whether the evaluated task itself is long-horizon</x:v>
      </x:c>
      <x:c r="C6" s="13" t="str">
        <x:v>Yes; No; No / Unclear; N/A</x:v>
      </x:c>
      <x:c r="D6" s="13" t="str">
        <x:v>Separate task horizon from explicit planner horizon and hierarchy depth.</x:v>
      </x:c>
    </x:row>
    <x:row r="7">
      <x:c r="A7" s="13" t="str">
        <x:v>uses_world_model</x:v>
      </x:c>
      <x:c r="B7" s="13" t="str">
        <x:v>Whether the method learns predictive environment evolution</x:v>
      </x:c>
      <x:c r="C7" s="13" t="str">
        <x:v>Yes; No; Ambiguous; N/A</x:v>
      </x:c>
      <x:c r="D7" s="13" t="str">
        <x:v>History encoders and action-only prediction are not sufficient.</x:v>
      </x:c>
    </x:row>
    <x:row r="8">
      <x:c r="A8" s="13" t="str">
        <x:v>world_model_family</x:v>
      </x:c>
      <x:c r="B8" s="13" t="str">
        <x:v>Primary normalized world-model family</x:v>
      </x:c>
      <x:c r="C8" s="13" t="str">
        <x:v>JEPA; Latent Dynamics; RSSM; Diffusion; Transformer; VAE; Object-Centric; Hybrid; None; N/A</x:v>
      </x:c>
      <x:c r="D8" s="13" t="str"/>
    </x:row>
    <x:row r="9">
      <x:c r="A9" s="13" t="str">
        <x:v>uses_planning</x:v>
      </x:c>
      <x:c r="B9" s="13" t="str">
        <x:v>Whether the proposed method explicitly optimizes or decomposes behavior</x:v>
      </x:c>
      <x:c r="C9" s="13" t="str">
        <x:v>Yes; No; N/A</x:v>
      </x:c>
      <x:c r="D9" s="13" t="str">
        <x:v>Receding-horizon policy inference alone is No.</x:v>
      </x:c>
    </x:row>
    <x:row r="10">
      <x:c r="A10" s="13" t="str">
        <x:v>planning_method</x:v>
      </x:c>
      <x:c r="B10" s="13" t="str">
        <x:v>Primary normalized planning mechanism</x:v>
      </x:c>
      <x:c r="C10" s="13" t="str">
        <x:v>MPC; MPPI; CEM; Tree Search; Graph Search; Hierarchical; Language Planner; Policy Rollout; Optimization; None; N/A</x:v>
      </x:c>
      <x:c r="D10" s="13" t="str"/>
    </x:row>
    <x:row r="11">
      <x:c r="A11" s="13" t="str">
        <x:v>planning_horizon</x:v>
      </x:c>
      <x:c r="B11" s="13" t="str">
        <x:v>Horizon of an explicit planner or imagined rollout</x:v>
      </x:c>
      <x:c r="C11" s="13" t="str">
        <x:v>None; Short; Medium; Long; N/A</x:v>
      </x:c>
      <x:c r="D11" s="13" t="str">
        <x:v>Default rule: Short &lt;10 environment actions; Medium 10–50; Long &gt;50 or task-level symbolic planning.</x:v>
      </x:c>
    </x:row>
    <x:row r="12">
      <x:c r="A12" s="13" t="str">
        <x:v>planning_role</x:v>
      </x:c>
      <x:c r="B12" s="13" t="str">
        <x:v>Where planning occurs in the hierarchy</x:v>
      </x:c>
      <x:c r="C12" s="13" t="str">
        <x:v>None; Local Controller; Skill Planner; High-Level Planner; Full End-to-End Planner; N/A</x:v>
      </x:c>
      <x:c r="D12" s="13" t="str"/>
    </x:row>
    <x:row r="13">
      <x:c r="A13" s="13" t="str">
        <x:v>replanning_online</x:v>
      </x:c>
      <x:c r="B13" s="13" t="str">
        <x:v>Whether plans or action sequences are refreshed from feedback</x:v>
      </x:c>
      <x:c r="C13" s="13" t="str">
        <x:v>Yes; No; No / Unclear; N/A; qualified text</x:v>
      </x:c>
      <x:c r="D13" s="13" t="str">
        <x:v>Distinguish direct policy refresh from explicit search-based replanning in evidence.</x:v>
      </x:c>
    </x:row>
    <x:row r="14">
      <x:c r="A14" s="13" t="str">
        <x:v>confidence</x:v>
      </x:c>
      <x:c r="B14" s="13" t="str">
        <x:v>Confidence in the annotation row</x:v>
      </x:c>
      <x:c r="C14" s="13" t="str">
        <x:v>High; Medium; Low</x:v>
      </x:c>
      <x:c r="D14" s="13" t="str">
        <x:v>Put field-specific uncertainty in review_flags.</x:v>
      </x:c>
    </x:row>
    <x:row r="15">
      <x:c r="A15" s="13" t="str">
        <x:v>review_flags</x:v>
      </x:c>
      <x:c r="B15" s="13" t="str">
        <x:v>Scope and interpretation notes</x:v>
      </x:c>
      <x:c r="C15" s="13" t="str">
        <x:v>Free text</x:v>
      </x:c>
      <x:c r="D15" s="13" t="str">
        <x:v>Used to preserve core, supporting, peripheral, and definition-sensitive distinctions.</x:v>
      </x:c>
    </x:row>
  </x:sheetData>
  <x:pageMargins left="0.7" right="0.7" top="0.75" bottom="0.75" header="0.3" footer="0.3"/>
  <x:tableParts count="1">
    <x:tablePart xmlns:r="http://schemas.openxmlformats.org/officeDocument/2006/relationships" r:id="R113fad2961ad44ab"/>
  </x:tableParts>
</x:worksheet>
</file>