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e43b425b08147e3" /></Relationships>
</file>

<file path=xl/workbook.xml><?xml version="1.0" encoding="utf-8"?>
<x:workbook xmlns:x="http://schemas.openxmlformats.org/spreadsheetml/2006/main">
  <x:sheets>
    <x:sheet xmlns:r="http://schemas.openxmlformats.org/officeDocument/2006/relationships" name="Dashboard" sheetId="1" r:id="R3b9971e1c67042b7"/>
    <x:sheet xmlns:r="http://schemas.openxmlformats.org/officeDocument/2006/relationships" name="Annotations" sheetId="2" r:id="R3f0b514a09b6487b"/>
    <x:sheet xmlns:r="http://schemas.openxmlformats.org/officeDocument/2006/relationships" name="Taxonomy" sheetId="3" r:id="R30763a314a2a4ca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1"/>
      <x:color rgb="FFFFFFFF"/>
      <x:name val="Carlito"/>
    </x:font>
    <x:font>
      <x:b/>
      <x:sz val="16"/>
      <x:color rgb="FFFFFFFF"/>
      <x:name val="Carlito"/>
    </x:font>
    <x:font>
      <x:b/>
      <x:sz val="11"/>
      <x:name val="Carlito"/>
    </x:font>
    <x:font>
      <x:b/>
      <x:sz val="13"/>
      <x:name val="Carlito"/>
    </x:font>
  </x:fonts>
  <x:fills count="6">
    <x:fill>
      <x:patternFill patternType="none"/>
    </x:fill>
    <x:fill>
      <x:patternFill patternType="gray125"/>
    </x:fill>
    <x:fill>
      <x:patternFill patternType="solid">
        <x:fgColor rgb="FF1F4E78"/>
      </x:patternFill>
    </x:fill>
    <x:fill>
      <x:patternFill patternType="solid">
        <x:fgColor rgb="FF2F75B5"/>
      </x:patternFill>
    </x:fill>
    <x:fill>
      <x:patternFill patternType="solid">
        <x:fgColor rgb="FFD9EAF7"/>
      </x:patternFill>
    </x:fill>
    <x:fill>
      <x:patternFill patternType="solid">
        <x:fgColor rgb="FFF3F6F9"/>
      </x:patternFill>
    </x:fill>
  </x:fills>
  <x:borders count="2">
    <x:border/>
    <x:border/>
  </x:borders>
  <x:cellStyleXfs count="1">
    <x:xf numFmtId="0" fontId="0" fillId="0" borderId="0"/>
  </x:cellStyleXfs>
  <x:cellXfs count="6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4" fillId="0" borderId="0" xfId="0" applyNumberFormat="1" applyFont="1" applyFill="1" applyBorder="1"/>
    <x:xf numFmtId="200" fontId="4" fillId="0" borderId="0" xfId="0" applyNumberFormat="1" applyFont="1" applyFill="1" applyBorder="1"/>
    <x:xf numFmtId="200" fontId="4" fillId="0" borderId="0" xfId="0" applyNumberFormat="1" applyFont="1" applyFill="1" applyBorder="1" applyAlignment="1">
      <x:alignment horizontal="center"/>
    </x:xf>
    <x:xf numFmtId="200" fontId="4" fillId="0" borderId="0" xfId="0" applyNumberFormat="1" applyFont="1" applyFill="1" applyBorder="1" applyAlignment="1">
      <x:alignment horizontal="center" vertical="center"/>
    </x:xf>
    <x:xf numFmtId="0" fontId="4" fillId="0" borderId="1" xfId="0" applyNumberFormat="1" applyFont="1" applyFill="1" applyBorder="1"/>
    <x:xf numFmtId="200" fontId="4" fillId="0" borderId="1" xfId="0" applyNumberFormat="1" applyFont="1" applyFill="1" applyBorder="1"/>
    <x:xf numFmtId="200" fontId="4" fillId="0" borderId="1" xfId="0" applyNumberFormat="1" applyFont="1" applyFill="1" applyBorder="1" applyAlignment="1">
      <x:alignment horizontal="center"/>
    </x:xf>
    <x:xf numFmtId="200" fontId="4" fillId="0" borderId="1" xfId="0" applyNumberFormat="1" applyFont="1" applyFill="1" applyBorder="1" applyAlignment="1">
      <x:alignment horizontal="center" vertical="center"/>
    </x:xf>
    <x:xf numFmtId="0" fontId="1" fillId="3" borderId="0" xfId="0" applyNumberFormat="1" applyFont="1" applyFill="1" applyBorder="1" applyAlignment="1">
      <x:alignment horizontal="center"/>
    </x:xf>
    <x:xf numFmtId="0" fontId="1" fillId="3" borderId="1" xfId="0" applyNumberFormat="1" applyFont="1" applyFill="1" applyBorder="1" applyAlignment="1">
      <x:alignment horizontal="center"/>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200" fontId="0" fillId="0" borderId="0" xfId="0" applyNumberFormat="1" applyFont="1" applyFill="1" applyBorder="1"/>
    <x:xf numFmtId="200" fontId="0" fillId="0" borderId="0" xfId="0" applyNumberFormat="1" applyFont="1" applyFill="1" applyBorder="1" applyAlignment="1">
      <x:alignment horizontal="center"/>
    </x:xf>
    <x:xf numFmtId="200" fontId="0" fillId="0" borderId="1" xfId="0" applyNumberFormat="1" applyFont="1" applyFill="1" applyBorder="1"/>
    <x:xf numFmtId="200" fontId="0" fillId="0"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0800024e5e844a1" /><Relationship Type="http://schemas.openxmlformats.org/officeDocument/2006/relationships/theme" Target="/xl/theme/theme1.xml" Id="R8af97da1de524cf4" /><Relationship Type="http://schemas.openxmlformats.org/officeDocument/2006/relationships/sharedStrings" Target="/xl/sharedStrings.xml" Id="R13651c655f2b4de5" /><Relationship Type="http://schemas.openxmlformats.org/officeDocument/2006/relationships/worksheet" Target="/xl/worksheets/sheet1.xml" Id="R3b9971e1c67042b7" /><Relationship Type="http://schemas.openxmlformats.org/officeDocument/2006/relationships/worksheet" Target="/xl/worksheets/sheet2.xml" Id="R3f0b514a09b6487b" /><Relationship Type="http://schemas.openxmlformats.org/officeDocument/2006/relationships/worksheet" Target="/xl/worksheets/sheet3.xml" Id="R30763a314a2a4ca2" /></Relationships>
</file>

<file path=xl/drawings/_rels/drawing1.xml.rels>&#65279;<?xml version="1.0" encoding="utf-8"?><Relationships xmlns="http://schemas.openxmlformats.org/package/2006/relationships"><Relationship Type="http://schemas.openxmlformats.org/officeDocument/2006/relationships/chart" Target="/xl/drawings/charts/chart1.xml" Id="Rec5b48be903a440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Corpus by First-Publication Year</a:t>
            </a:r>
          </a:p>
        </c:rich>
      </c:tx>
      <c:overlay val="0"/>
    </c:title>
    <c:autoTitleDeleted val="0"/>
    <c:plotArea>
      <c:layout/>
      <c:lineChart>
        <c:grouping val="standard"/>
        <c:ser>
          <c:idx val="0"/>
          <c:order val="0"/>
          <c:tx>
            <c:v>Methods</c:v>
          </c:tx>
          <c:cat>
            <c:strRef>
              <c:f>'Dashboard'!$A$19:$A$20</c:f>
              <c:strCache>
                <c:ptCount val="0"/>
              </c:strCache>
            </c:strRef>
          </c:cat>
          <c:val>
            <c:numRef>
              <c:f>'Dashboard'!$B$19:$B$20</c:f>
              <c:numCache>
                <c:formatCode>0</c:formatCode>
                <c:ptCount val="0"/>
              </c:numCache>
            </c:numRef>
          </c:val>
          <c:smooth val="0"/>
        </c:ser>
        <c:ser>
          <c:idx val="1"/>
          <c:order val="1"/>
          <c:tx>
            <c:v>Surveys</c:v>
          </c:tx>
          <c:cat>
            <c:strRef>
              <c:f>'Dashboard'!$A$19:$A$20</c:f>
              <c:strCache>
                <c:ptCount val="0"/>
              </c:strCache>
            </c:strRef>
          </c:cat>
          <c:val>
            <c:numRef>
              <c:f>'Dashboard'!$C$19:$C$20</c:f>
              <c:numCache>
                <c:formatCode>0</c:formatCode>
                <c:ptCount val="0"/>
              </c:numCache>
            </c:numRef>
          </c:val>
          <c:smooth val="0"/>
        </c:ser>
        <c:ser>
          <c:idx val="2"/>
          <c:order val="2"/>
          <c:tx>
            <c:v>Benchmarks</c:v>
          </c:tx>
          <c:cat>
            <c:strRef>
              <c:f>'Dashboard'!$A$19:$A$20</c:f>
              <c:strCache>
                <c:ptCount val="0"/>
              </c:strCache>
            </c:strRef>
          </c:cat>
          <c:val>
            <c:numRef>
              <c:f>'Dashboard'!$D$19:$D$20</c:f>
              <c:numCache>
                <c:formatCode>0</c:formatCode>
                <c:ptCount val="0"/>
              </c:numCache>
            </c:numRef>
          </c:val>
          <c:smooth val="0"/>
        </c:ser>
        <c:ser>
          <c:idx val="3"/>
          <c:order val="3"/>
          <c:tx>
            <c:v>Datasets</c:v>
          </c:tx>
          <c:cat>
            <c:strRef>
              <c:f>'Dashboard'!$A$19:$A$20</c:f>
              <c:strCache>
                <c:ptCount val="0"/>
              </c:strCache>
            </c:strRef>
          </c:cat>
          <c:val>
            <c:numRef>
              <c:f>'Dashboard'!$E$19:$E$20</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16</xdr:row>
      <xdr:rowOff>0</xdr:rowOff>
    </xdr:from>
    <xdr:to>
      <xdr:col>14</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c5b48be903a4407"/>
        </a:graphicData>
      </a:graphic>
    </xdr:graphicFrame>
    <xdr:clientData/>
  </xdr:twoCellAnchor>
</xdr:wsDr>
</file>

<file path=xl/tables/table1.xml><?xml version="1.0" encoding="utf-8"?>
<x:table xmlns:x="http://schemas.openxmlformats.org/spreadsheetml/2006/main" id="1" name="Batch13Annotations" displayName="Batch13Annotations" ref="A1:BA4" headerRowCount="1">
  <x:tableColumns count="53">
    <x:tableColumn id="1" name="batch_id"/>
    <x:tableColumn id="2" name="paper_id"/>
    <x:tableColumn id="3" name="title"/>
    <x:tableColumn id="4" name="authors"/>
    <x:tableColumn id="5" name="year"/>
    <x:tableColumn id="6" name="year_basis"/>
    <x:tableColumn id="7" name="venue"/>
    <x:tableColumn id="8" name="publication_status"/>
    <x:tableColumn id="9" name="paper_type"/>
    <x:tableColumn id="10" name="citation_count"/>
    <x:tableColumn id="11" name="doi_or_identifier"/>
    <x:tableColumn id="12" name="open_source"/>
    <x:tableColumn id="13" name="open_source_notes"/>
    <x:tableColumn id="14" name="task_domain"/>
    <x:tableColumn id="15" name="primary_problem"/>
    <x:tableColumn id="16" name="long_horizon"/>
    <x:tableColumn id="17" name="language_conditioned"/>
    <x:tableColumn id="18" name="human_robot_interaction"/>
    <x:tableColumn id="19" name="uses_world_model"/>
    <x:tableColumn id="20" name="world_model_family"/>
    <x:tableColumn id="21" name="world_model_detail"/>
    <x:tableColumn id="22" name="predictive_space"/>
    <x:tableColumn id="23" name="prediction_target"/>
    <x:tableColumn id="24" name="action_conditioned"/>
    <x:tableColumn id="25" name="video_prediction"/>
    <x:tableColumn id="26" name="uses_planning"/>
    <x:tableColumn id="27" name="planning_method"/>
    <x:tableColumn id="28" name="planning_representation"/>
    <x:tableColumn id="29" name="planning_horizon"/>
    <x:tableColumn id="30" name="horizon_basis"/>
    <x:tableColumn id="31" name="hierarchical_planning"/>
    <x:tableColumn id="32" name="replanning_online"/>
    <x:tableColumn id="33" name="planning_role"/>
    <x:tableColumn id="34" name="learning_type"/>
    <x:tableColumn id="35" name="policy_type"/>
    <x:tableColumn id="36" name="pretraining"/>
    <x:tableColumn id="37" name="observation_modality"/>
    <x:tableColumn id="38" name="goal_representation"/>
    <x:tableColumn id="39" name="action_space"/>
    <x:tableColumn id="40" name="benchmark"/>
    <x:tableColumn id="41" name="robot_platform"/>
    <x:tableColumn id="42" name="simulation"/>
    <x:tableColumn id="43" name="real_robot"/>
    <x:tableColumn id="44" name="main_contribution"/>
    <x:tableColumn id="45" name="novelty"/>
    <x:tableColumn id="46" name="limitations"/>
    <x:tableColumn id="47" name="future_work"/>
    <x:tableColumn id="48" name="evidence_world_model"/>
    <x:tableColumn id="49" name="evidence_planning"/>
    <x:tableColumn id="50" name="evidence_horizon"/>
    <x:tableColumn id="51" name="confidence"/>
    <x:tableColumn id="52" name="review_flags"/>
    <x:tableColumn id="53" name="source_document"/>
  </x:tableColumns>
  <x:tableStyleInfo name="TableStyleMedium2" showRowStripes="1"/>
</x:table>
</file>

<file path=xl/tables/table2.xml><?xml version="1.0" encoding="utf-8"?>
<x:table xmlns:x="http://schemas.openxmlformats.org/spreadsheetml/2006/main" id="2" name="Batch13AnnotationsTaxonomy" displayName="Batch13AnnotationsTaxonomy" ref="A1:D15" headerRowCount="1">
  <x:tableColumns count="4">
    <x:tableColumn id="1" name="Field"/>
    <x:tableColumn id="2" name="Definition"/>
    <x:tableColumn id="3" name="Allowed / normalized values"/>
    <x:tableColumn id="4" name="Annotation ru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ee5df8c4a5f40a7" /></Relationships>
</file>

<file path=xl/worksheets/_rels/sheet2.xml.rels>&#65279;<?xml version="1.0" encoding="utf-8"?><Relationships xmlns="http://schemas.openxmlformats.org/package/2006/relationships"><Relationship Type="http://schemas.openxmlformats.org/officeDocument/2006/relationships/table" Target="/xl/tables/table1.xml" Id="R03e623b51f9d45f4" /></Relationships>
</file>

<file path=xl/worksheets/_rels/sheet3.xml.rels>&#65279;<?xml version="1.0" encoding="utf-8"?><Relationships xmlns="http://schemas.openxmlformats.org/package/2006/relationships"><Relationship Type="http://schemas.openxmlformats.org/officeDocument/2006/relationships/table" Target="/xl/tables/table2.xml" Id="R834704a0295346be" /></Relationships>
</file>

<file path=xl/worksheets/sheet1.xml><?xml version="1.0" encoding="utf-8"?>
<x:worksheet xmlns:x="http://schemas.openxmlformats.org/spreadsheetml/2006/main">
  <x:sheetFormatPr defaultRowHeight="15"/>
  <x:cols>
    <x:col min="1" max="1" width="39" hidden="0" customWidth="1"/>
    <x:col min="2" max="2" width="16" hidden="0" customWidth="1"/>
    <x:col min="3" max="3" width="51" hidden="0" customWidth="1"/>
    <x:col min="4" max="4" width="18" hidden="0" customWidth="1"/>
    <x:col min="5" max="5" width="18" hidden="0" customWidth="1"/>
    <x:col min="6" max="6" width="18" hidden="0" customWidth="1"/>
    <x:col min="7" max="7" width="18" hidden="0" customWidth="1"/>
    <x:col min="8" max="8" width="18" hidden="0" customWidth="1"/>
  </x:cols>
  <x:sheetData>
    <x:row r="1">
      <x:c r="A1" s="28" t="str">
        <x:v>WM &amp; Planning Analytics — Batch 13</x:v>
      </x:c>
      <x:c r="B1" s="28"/>
      <x:c r="C1" s="28"/>
      <x:c r="D1" s="28"/>
      <x:c r="E1" s="28"/>
      <x:c r="F1" s="28"/>
      <x:c r="G1" s="28"/>
      <x:c r="H1" s="28"/>
      <x:c r="I1" s="28"/>
    </x:row>
    <x:row r="2">
      <x:c r="A2" s="28"/>
      <x:c r="B2" s="28"/>
      <x:c r="C2" s="28"/>
      <x:c r="D2" s="28"/>
      <x:c r="E2" s="28"/>
      <x:c r="F2" s="28"/>
      <x:c r="G2" s="28"/>
      <x:c r="H2" s="28"/>
      <x:c r="I2" s="28"/>
    </x:row>
    <x:row r="4">
      <x:c r="A4" s="35" t="str">
        <x:v>Total papers</x:v>
      </x:c>
      <x:c r="B4" s="43" t="n">
        <x:f>COUNTA(Annotations!$C:$C)-1</x:f>
        <x:v>3</x:v>
      </x:c>
      <x:c r="D4" s="48" t="str">
        <x:v>Final batch interpretation notes</x:v>
      </x:c>
      <x:c r="E4" s="48"/>
      <x:c r="F4" s="48"/>
      <x:c r="G4" s="48"/>
      <x:c r="H4" s="48"/>
    </x:row>
    <x:row r="5">
      <x:c r="A5" s="35" t="str">
        <x:v>Method papers</x:v>
      </x:c>
      <x:c r="B5" s="43" t="n">
        <x:f>COUNTIF(Annotations!$I:$I,"Method")</x:f>
        <x:v>1</x:v>
      </x:c>
      <x:c r="D5" s="52" t="str">
        <x:v>• World Value Model retains future-video prediction but outputs offline progress values, so it is a world model without explicit planning.
• Its current benchmark is mostly pick-and-place; dexterous and long-horizon expansion is future work.
• The predictive-coding survey is foundational for active inference, lifelong learning, social interaction, and cognitive architectures.
• The robot-learning survey is the most policy-centric survey in the final corpus and includes policy coupling, simulation, evaluation, planning, and video generation.
• Batch 13 completes the annotated corpus and the archive includes all 13 immutable batch snapshots.</x:v>
      </x:c>
      <x:c r="E5" s="52"/>
      <x:c r="F5" s="52"/>
      <x:c r="G5" s="52"/>
      <x:c r="H5" s="52"/>
    </x:row>
    <x:row r="6">
      <x:c r="A6" s="35" t="str">
        <x:v>Survey papers</x:v>
      </x:c>
      <x:c r="B6" s="43" t="n">
        <x:f>COUNTIF(Annotations!$I:$I,"Survey")</x:f>
        <x:v>2</x:v>
      </x:c>
      <x:c r="D6" s="52"/>
      <x:c r="E6" s="52"/>
      <x:c r="F6" s="52"/>
      <x:c r="G6" s="52"/>
      <x:c r="H6" s="52"/>
    </x:row>
    <x:row r="7">
      <x:c r="A7" s="35" t="str">
        <x:v>Benchmark papers</x:v>
      </x:c>
      <x:c r="B7" s="43" t="n">
        <x:f>COUNTIF(Annotations!$I:$I,"Benchmark")</x:f>
        <x:v>0</x:v>
      </x:c>
      <x:c r="D7" s="52"/>
      <x:c r="E7" s="52"/>
      <x:c r="F7" s="52"/>
      <x:c r="G7" s="52"/>
      <x:c r="H7" s="52"/>
    </x:row>
    <x:row r="8">
      <x:c r="A8" s="35" t="str">
        <x:v>Dataset papers</x:v>
      </x:c>
      <x:c r="B8" s="43" t="n">
        <x:f>COUNTIF(Annotations!$I:$I,"Dataset")</x:f>
        <x:v>0</x:v>
      </x:c>
      <x:c r="D8" s="52"/>
      <x:c r="E8" s="52"/>
      <x:c r="F8" s="52"/>
      <x:c r="G8" s="52"/>
      <x:c r="H8" s="52"/>
    </x:row>
    <x:row r="9">
      <x:c r="A9" s="35" t="str">
        <x:v>Method papers using world models</x:v>
      </x:c>
      <x:c r="B9" s="43" t="n">
        <x:f>COUNTIFS(Annotations!$I:$I,"Method",Annotations!$S:$S,"Yes")</x:f>
        <x:v>1</x:v>
      </x:c>
      <x:c r="D9" s="52"/>
      <x:c r="E9" s="52"/>
      <x:c r="F9" s="52"/>
      <x:c r="G9" s="52"/>
      <x:c r="H9" s="52"/>
    </x:row>
    <x:row r="10">
      <x:c r="A10" s="35" t="str">
        <x:v>Definition-sensitive WM papers</x:v>
      </x:c>
      <x:c r="B10" s="43" t="n">
        <x:f>COUNTIFS(Annotations!$I:$I,"Method",Annotations!$S:$S,"Ambiguous")</x:f>
        <x:v>0</x:v>
      </x:c>
      <x:c r="D10" s="52"/>
      <x:c r="E10" s="52"/>
      <x:c r="F10" s="52"/>
      <x:c r="G10" s="52"/>
      <x:c r="H10" s="52"/>
    </x:row>
    <x:row r="11">
      <x:c r="A11" s="35" t="str">
        <x:v>Method papers with explicit planning</x:v>
      </x:c>
      <x:c r="B11" s="43" t="n">
        <x:f>COUNTIFS(Annotations!$I:$I,"Method",Annotations!$Z:$Z,"Yes")</x:f>
        <x:v>0</x:v>
      </x:c>
      <x:c r="D11" s="52"/>
      <x:c r="E11" s="52"/>
      <x:c r="F11" s="52"/>
      <x:c r="G11" s="52"/>
      <x:c r="H11" s="52"/>
    </x:row>
    <x:row r="12">
      <x:c r="A12" s="35" t="str">
        <x:v>Long-horizon method papers</x:v>
      </x:c>
      <x:c r="B12" s="43" t="n">
        <x:f>COUNTIFS(Annotations!$I:$I,"Method",Annotations!$P:$P,"Yes")</x:f>
        <x:v>0</x:v>
      </x:c>
      <x:c r="D12" s="52"/>
      <x:c r="E12" s="52"/>
      <x:c r="F12" s="52"/>
      <x:c r="G12" s="52"/>
      <x:c r="H12" s="52"/>
    </x:row>
    <x:row r="13">
      <x:c r="A13" s="35" t="str">
        <x:v>Long-horizon benchmark papers</x:v>
      </x:c>
      <x:c r="B13" s="43" t="n">
        <x:f>COUNTIFS(Annotations!$I:$I,"Benchmark",Annotations!$P:$P,"Yes")</x:f>
        <x:v>0</x:v>
      </x:c>
    </x:row>
    <x:row r="14">
      <x:c r="A14" s="35" t="str">
        <x:v>Method papers with real-robot evaluation</x:v>
      </x:c>
      <x:c r="B14" s="43" t="n">
        <x:f>COUNTIFS(Annotations!$I:$I,"Method",Annotations!$AQ:$AQ,"Yes")</x:f>
        <x:v>1</x:v>
      </x:c>
    </x:row>
    <x:row r="15">
      <x:c r="A15" s="35" t="str">
        <x:v>High-confidence rows</x:v>
      </x:c>
      <x:c r="B15" s="43" t="n">
        <x:f>COUNTIF(Annotations!$AY:$AY,"High")</x:f>
        <x:v>3</x:v>
      </x:c>
    </x:row>
    <x:row r="18">
      <x:c r="A18" s="48" t="str">
        <x:v>Year</x:v>
      </x:c>
      <x:c r="B18" s="48" t="str">
        <x:v>Methods</x:v>
      </x:c>
      <x:c r="C18" s="48" t="str">
        <x:v>Surveys</x:v>
      </x:c>
      <x:c r="D18" s="48" t="str">
        <x:v>Benchmarks</x:v>
      </x:c>
      <x:c r="E18" s="48" t="str">
        <x:v>Datasets</x:v>
      </x:c>
    </x:row>
    <x:row r="19">
      <x:c r="A19" s="57" t="n">
        <x:v>2023</x:v>
      </x:c>
      <x:c r="B19" s="57" t="n">
        <x:f>COUNTIFS(Annotations!$E:$E,A19,Annotations!$I:$I,"Method")</x:f>
        <x:v>0</x:v>
      </x:c>
      <x:c r="C19" s="57" t="n">
        <x:f>COUNTIFS(Annotations!$E:$E,A19,Annotations!$I:$I,"Survey")</x:f>
        <x:v>1</x:v>
      </x:c>
      <x:c r="D19" s="57" t="n">
        <x:f>COUNTIFS(Annotations!$E:$E,A19,Annotations!$I:$I,"Benchmark")</x:f>
        <x:v>0</x:v>
      </x:c>
      <x:c r="E19" s="57" t="n">
        <x:f>COUNTIFS(Annotations!$E:$E,A19,Annotations!$I:$I,"Dataset")</x:f>
        <x:v>0</x:v>
      </x:c>
    </x:row>
    <x:row r="20">
      <x:c r="A20" s="57" t="n">
        <x:v>2026</x:v>
      </x:c>
      <x:c r="B20" s="57" t="n">
        <x:f>COUNTIFS(Annotations!$E:$E,A20,Annotations!$I:$I,"Method")</x:f>
        <x:v>1</x:v>
      </x:c>
      <x:c r="C20" s="57" t="n">
        <x:f>COUNTIFS(Annotations!$E:$E,A20,Annotations!$I:$I,"Survey")</x:f>
        <x:v>1</x:v>
      </x:c>
      <x:c r="D20" s="57" t="n">
        <x:f>COUNTIFS(Annotations!$E:$E,A20,Annotations!$I:$I,"Benchmark")</x:f>
        <x:v>0</x:v>
      </x:c>
      <x:c r="E20" s="57" t="n">
        <x:f>COUNTIFS(Annotations!$E:$E,A20,Annotations!$I:$I,"Dataset")</x:f>
        <x:v>0</x:v>
      </x:c>
    </x:row>
    <x:row r="23">
      <x:c r="A23" s="48" t="str">
        <x:v>World-model status</x:v>
      </x:c>
      <x:c r="B23" s="48" t="str">
        <x:v>Method count</x:v>
      </x:c>
      <x:c r="C23" s="48" t="str">
        <x:v>Interpretation</x:v>
      </x:c>
    </x:row>
    <x:row r="24">
      <x:c r="A24" s="13" t="str">
        <x:v>Yes</x:v>
      </x:c>
      <x:c r="B24" s="13" t="n">
        <x:f>COUNTIFS(Annotations!$I:$I,"Method",Annotations!$S:$S,A24)</x:f>
        <x:v>1</x:v>
      </x:c>
      <x:c r="C24" s="13" t="str">
        <x:v>Strict predictive environment model</x:v>
      </x:c>
    </x:row>
    <x:row r="25">
      <x:c r="A25" s="13" t="str">
        <x:v>Ambiguous</x:v>
      </x:c>
      <x:c r="B25" s="13" t="n">
        <x:f>COUNTIFS(Annotations!$I:$I,"Method",Annotations!$S:$S,A25)</x:f>
        <x:v>0</x:v>
      </x:c>
      <x:c r="C25" s="13" t="str">
        <x:v>World-model terminology without explicit environment prediction</x:v>
      </x:c>
    </x:row>
    <x:row r="26">
      <x:c r="A26" s="13" t="str">
        <x:v>No</x:v>
      </x:c>
      <x:c r="B26" s="13" t="n">
        <x:f>COUNTIFS(Annotations!$I:$I,"Method",Annotations!$S:$S,A26)</x:f>
        <x:v>0</x:v>
      </x:c>
      <x:c r="C26" s="13" t="str">
        <x:v>No learned downstream predictive environment model</x:v>
      </x:c>
    </x:row>
  </x:sheetData>
  <x:mergeCells>
    <x:mergeCell ref="A1:I2"/>
    <x:mergeCell ref="D4:H4"/>
    <x:mergeCell ref="D5:H12"/>
  </x:mergeCells>
  <x:pageMargins left="0.7" right="0.7" top="0.75" bottom="0.75" header="0.3" footer="0.3"/>
  <x:drawing xmlns:r="http://schemas.openxmlformats.org/officeDocument/2006/relationships" r:id="Reee5df8c4a5f40a7"/>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34" hidden="0" customWidth="1"/>
    <x:col min="4" max="4" width="28" hidden="0" customWidth="1"/>
    <x:col min="5" max="5" width="18" hidden="0" customWidth="1"/>
    <x:col min="6" max="6" width="2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34"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34"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34"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28" hidden="0" customWidth="1"/>
    <x:col min="38" max="38" width="28" hidden="0" customWidth="1"/>
    <x:col min="39" max="39" width="18" hidden="0" customWidth="1"/>
    <x:col min="40" max="40" width="28" hidden="0" customWidth="1"/>
    <x:col min="41" max="41" width="28" hidden="0" customWidth="1"/>
    <x:col min="42" max="42" width="18" hidden="0" customWidth="1"/>
    <x:col min="43" max="43" width="18" hidden="0" customWidth="1"/>
    <x:col min="44" max="44" width="34" hidden="0" customWidth="1"/>
    <x:col min="45" max="45" width="34" hidden="0" customWidth="1"/>
    <x:col min="46" max="46" width="34" hidden="0" customWidth="1"/>
    <x:col min="47" max="47" width="34" hidden="0" customWidth="1"/>
    <x:col min="48" max="48" width="34" hidden="0" customWidth="1"/>
    <x:col min="49" max="49" width="34" hidden="0" customWidth="1"/>
    <x:col min="50" max="50" width="34" hidden="0" customWidth="1"/>
    <x:col min="51" max="51" width="18" hidden="0" customWidth="1"/>
    <x:col min="52" max="52" width="34" hidden="0" customWidth="1"/>
    <x:col min="53" max="53" width="28" hidden="0" customWidth="1"/>
  </x:cols>
  <x:sheetData>
    <x:row r="1">
      <x:c r="A1" s="6" t="str">
        <x:v>batch_id</x:v>
      </x:c>
      <x:c r="B1" s="6" t="str">
        <x:v>paper_id</x:v>
      </x:c>
      <x:c r="C1" s="6" t="str">
        <x:v>title</x:v>
      </x:c>
      <x:c r="D1" s="6" t="str">
        <x:v>authors</x:v>
      </x:c>
      <x:c r="E1" s="6" t="str">
        <x:v>year</x:v>
      </x:c>
      <x:c r="F1" s="6" t="str">
        <x:v>year_basis</x:v>
      </x:c>
      <x:c r="G1" s="6" t="str">
        <x:v>venue</x:v>
      </x:c>
      <x:c r="H1" s="6" t="str">
        <x:v>publication_status</x:v>
      </x:c>
      <x:c r="I1" s="6" t="str">
        <x:v>paper_type</x:v>
      </x:c>
      <x:c r="J1" s="6" t="str">
        <x:v>citation_count</x:v>
      </x:c>
      <x:c r="K1" s="6" t="str">
        <x:v>doi_or_identifier</x:v>
      </x:c>
      <x:c r="L1" s="6" t="str">
        <x:v>open_source</x:v>
      </x:c>
      <x:c r="M1" s="6" t="str">
        <x:v>open_source_notes</x:v>
      </x:c>
      <x:c r="N1" s="6" t="str">
        <x:v>task_domain</x:v>
      </x:c>
      <x:c r="O1" s="6" t="str">
        <x:v>primary_problem</x:v>
      </x:c>
      <x:c r="P1" s="6" t="str">
        <x:v>long_horizon</x:v>
      </x:c>
      <x:c r="Q1" s="6" t="str">
        <x:v>language_conditioned</x:v>
      </x:c>
      <x:c r="R1" s="6" t="str">
        <x:v>human_robot_interaction</x:v>
      </x:c>
      <x:c r="S1" s="6" t="str">
        <x:v>uses_world_model</x:v>
      </x:c>
      <x:c r="T1" s="6" t="str">
        <x:v>world_model_family</x:v>
      </x:c>
      <x:c r="U1" s="6" t="str">
        <x:v>world_model_detail</x:v>
      </x:c>
      <x:c r="V1" s="6" t="str">
        <x:v>predictive_space</x:v>
      </x:c>
      <x:c r="W1" s="6" t="str">
        <x:v>prediction_target</x:v>
      </x:c>
      <x:c r="X1" s="6" t="str">
        <x:v>action_conditioned</x:v>
      </x:c>
      <x:c r="Y1" s="6" t="str">
        <x:v>video_prediction</x:v>
      </x:c>
      <x:c r="Z1" s="6" t="str">
        <x:v>uses_planning</x:v>
      </x:c>
      <x:c r="AA1" s="6" t="str">
        <x:v>planning_method</x:v>
      </x:c>
      <x:c r="AB1" s="6" t="str">
        <x:v>planning_representation</x:v>
      </x:c>
      <x:c r="AC1" s="6" t="str">
        <x:v>planning_horizon</x:v>
      </x:c>
      <x:c r="AD1" s="6" t="str">
        <x:v>horizon_basis</x:v>
      </x:c>
      <x:c r="AE1" s="6" t="str">
        <x:v>hierarchical_planning</x:v>
      </x:c>
      <x:c r="AF1" s="6" t="str">
        <x:v>replanning_online</x:v>
      </x:c>
      <x:c r="AG1" s="6" t="str">
        <x:v>planning_role</x:v>
      </x:c>
      <x:c r="AH1" s="6" t="str">
        <x:v>learning_type</x:v>
      </x:c>
      <x:c r="AI1" s="6" t="str">
        <x:v>policy_type</x:v>
      </x:c>
      <x:c r="AJ1" s="6" t="str">
        <x:v>pretraining</x:v>
      </x:c>
      <x:c r="AK1" s="6" t="str">
        <x:v>observation_modality</x:v>
      </x:c>
      <x:c r="AL1" s="6" t="str">
        <x:v>goal_representation</x:v>
      </x:c>
      <x:c r="AM1" s="6" t="str">
        <x:v>action_space</x:v>
      </x:c>
      <x:c r="AN1" s="6" t="str">
        <x:v>benchmark</x:v>
      </x:c>
      <x:c r="AO1" s="6" t="str">
        <x:v>robot_platform</x:v>
      </x:c>
      <x:c r="AP1" s="6" t="str">
        <x:v>simulation</x:v>
      </x:c>
      <x:c r="AQ1" s="6" t="str">
        <x:v>real_robot</x:v>
      </x:c>
      <x:c r="AR1" s="6" t="str">
        <x:v>main_contribution</x:v>
      </x:c>
      <x:c r="AS1" s="6" t="str">
        <x:v>novelty</x:v>
      </x:c>
      <x:c r="AT1" s="6" t="str">
        <x:v>limitations</x:v>
      </x:c>
      <x:c r="AU1" s="6" t="str">
        <x:v>future_work</x:v>
      </x:c>
      <x:c r="AV1" s="6" t="str">
        <x:v>evidence_world_model</x:v>
      </x:c>
      <x:c r="AW1" s="6" t="str">
        <x:v>evidence_planning</x:v>
      </x:c>
      <x:c r="AX1" s="6" t="str">
        <x:v>evidence_horizon</x:v>
      </x:c>
      <x:c r="AY1" s="6" t="str">
        <x:v>confidence</x:v>
      </x:c>
      <x:c r="AZ1" s="6" t="str">
        <x:v>review_flags</x:v>
      </x:c>
      <x:c r="BA1" s="6" t="str">
        <x:v>source_document</x:v>
      </x:c>
    </x:row>
    <x:row r="2">
      <x:c r="A2" s="13" t="str">
        <x:v>batch_13</x:v>
      </x:c>
      <x:c r="B2" s="13" t="str">
        <x:v>B13-001</x:v>
      </x:c>
      <x:c r="C2" s="13" t="str">
        <x:v>World Value Models for Robotic Manipulation</x:v>
      </x:c>
      <x:c r="D2" s="13" t="str">
        <x:v>Zhihao Wang; Jianxiong Li; Yu Cui; Yuan Gao; Xianyuan Zhan; Junzhi Yu; Xiao Ma</x:v>
      </x:c>
      <x:c r="E2" s="13" t="n">
        <x:v>2026</x:v>
      </x:c>
      <x:c r="F2" s="13" t="str">
        <x:v>First public appearance: arXiv:2606.24742 on 23 Jun 2026; manuscript dated 24 Jun 2026</x:v>
      </x:c>
      <x:c r="G2" s="13" t="str">
        <x:v>arXiv</x:v>
      </x:c>
      <x:c r="H2" s="13" t="str">
        <x:v>Preprint</x:v>
      </x:c>
      <x:c r="I2" s="13" t="str">
        <x:v>Method</x:v>
      </x:c>
      <x:c r="J2" s="13" t="str"/>
      <x:c r="K2" s="13" t="str">
        <x:v>arXiv:2606.24742</x:v>
      </x:c>
      <x:c r="L2" s="13" t="str">
        <x:v>Unknown</x:v>
      </x:c>
      <x:c r="M2" s="13" t="str">
        <x:v>A project page is listed and the authors state that WVM and Suboptimal-Value-Bench will be released, but a public repository was not confirmed in the supplied manuscript.</x:v>
      </x:c>
      <x:c r="N2" s="13" t="str">
        <x:v>Manipulation; Generalist Value Modeling; Policy Improvement</x:v>
      </x:c>
      <x:c r="O2" s="13" t="str">
        <x:v>World Modeling; Value Estimation; Mixed-Quality Data Learning; Benchmarking</x:v>
      </x:c>
      <x:c r="P2" s="13" t="str">
        <x:v>No</x:v>
      </x:c>
      <x:c r="Q2" s="13" t="str">
        <x:v>Yes</x:v>
      </x:c>
      <x:c r="R2" s="13" t="str">
        <x:v>No</x:v>
      </x:c>
      <x:c r="S2" s="13" t="str">
        <x:v>Yes</x:v>
      </x:c>
      <x:c r="T2" s="13" t="str">
        <x:v>Hybrid</x:v>
      </x:c>
      <x:c r="U2" s="13" t="str">
        <x:v>A pretrained Wan2.2 video world-model stream is coupled to a lightweight value DiT through asymmetric Mixture-of-Transformers attention; both future-video latents and distributional value chunks are trained with flow matching.</x:v>
      </x:c>
      <x:c r="V2" s="13" t="str">
        <x:v>Hybrid Latent / Value</x:v>
      </x:c>
      <x:c r="W2" s="13" t="str">
        <x:v>Future video latents and a temporally dense task-progress value chunk</x:v>
      </x:c>
      <x:c r="X2" s="13" t="str">
        <x:v>No — conditioned on video history and language rather than robot actions</x:v>
      </x:c>
      <x:c r="Y2" s="13" t="str">
        <x:v>Yes — future video latents are co-trained as a world-modeling objective</x:v>
      </x:c>
      <x:c r="Z2" s="13" t="str">
        <x:v>No</x:v>
      </x:c>
      <x:c r="AA2" s="13" t="str">
        <x:v>None — value estimation guides offline data filtering and advantage-weighted policy learning</x:v>
      </x:c>
      <x:c r="AB2" s="13" t="str">
        <x:v>N/A</x:v>
      </x:c>
      <x:c r="AC2" s="13" t="str">
        <x:v>None</x:v>
      </x:c>
      <x:c r="AD2" s="13" t="str">
        <x:v>The model predicts progress over video chunks but does not optimize candidate action sequences; current downstream tasks are pick-and-place skills.</x:v>
      </x:c>
      <x:c r="AE2" s="13" t="str">
        <x:v>No</x:v>
      </x:c>
      <x:c r="AF2" s="13" t="str">
        <x:v>No — WVM is used as an offline value estimator for policy-learning data</x:v>
      </x:c>
      <x:c r="AG2" s="13" t="str">
        <x:v>None</x:v>
      </x:c>
      <x:c r="AH2" s="13" t="str">
        <x:v>Video and Value Flow Matching; Distributional Value Learning; Offline Policy Improvement</x:v>
      </x:c>
      <x:c r="AI2" s="13" t="str">
        <x:v>Generalist Value Model used with AWR and Filtered Behavioral Cloning</x:v>
      </x:c>
      <x:c r="AJ2" s="13" t="str">
        <x:v>Yes — initialized from the Wan2.2-TI2V-5B video world model</x:v>
      </x:c>
      <x:c r="AK2" s="13" t="str">
        <x:v>Video clips; natural-language task instruction</x:v>
      </x:c>
      <x:c r="AL2" s="13" t="str">
        <x:v>Natural-language instruction and normalized task-progress labels</x:v>
      </x:c>
      <x:c r="AM2" s="13" t="str">
        <x:v>N/A — the model predicts values rather than actions</x:v>
      </x:c>
      <x:c r="AN2" s="13" t="str">
        <x:v>Suboptimal-Value-Bench; Expert-VOC on OXE, RoboCOIN, EgoDex, AgileX, ARX, and RoboSuite; downstream RoboSuite and AgileX policy learning</x:v>
      </x:c>
      <x:c r="AO2" s="13" t="str">
        <x:v>Franka in RoboSuite; AgileX dual-arm; ARX and additional embodiments in value-model evaluation</x:v>
      </x:c>
      <x:c r="AP2" s="13" t="str">
        <x:v>Yes</x:v>
      </x:c>
      <x:c r="AQ2" s="13" t="str">
        <x:v>Yes</x:v>
      </x:c>
      <x:c r="AR2" s="13" t="str">
        <x:v>Repurposes a pretrained video world model as a generalist robotic value estimator and introduces an 800-trajectory benchmark with dense human annotations for hesitation and retry behavior.</x:v>
      </x:c>
      <x:c r="AS2" s="13" t="str">
        <x:v>Models value as a distributional temporal chunk with flow matching and couples a value DiT to a video DiT without allowing value tokens to interfere with the video stream.</x:v>
      </x:c>
      <x:c r="AT2" s="13" t="str">
        <x:v>Training scale is constrained by computation, limiting zero-shot transfer to unseen tasks and scenes; Suboptimal-Value-Bench is concentrated on pick-and-place behavior.</x:v>
      </x:c>
      <x:c r="AU2" s="13" t="str">
        <x:v>Scale the training mixture and expand evaluation toward more dexterous and genuinely long-horizon manipulation.</x:v>
      </x:c>
      <x:c r="AV2" s="13" t="str">
        <x:v>The retained video stream predicts future video latents from the current clip while the value stream extracts temporally grounded progress signals from the same predictive features.</x:v>
      </x:c>
      <x:c r="AW2" s="13" t="str">
        <x:v>WVM ranks or weights offline data for AWR and filtered behavioral cloning; it does not roll out candidate robot actions or execute MPC.</x:v>
      </x:c>
      <x:c r="AX2" s="13" t="str">
        <x:v>The evaluated downstream tasks are individual pick-and-place skills, and the paper explicitly identifies long-horizon manipulation as future benchmark expansion.</x:v>
      </x:c>
      <x:c r="AY2" s="13" t="str">
        <x:v>High</x:v>
      </x:c>
      <x:c r="AZ2" s="13" t="str">
        <x:v>Core world-model-derived value method. Count as a strict predictive world model because future video prediction remains an explicit co-training objective, but exclude from planner and action-conditioned-world-model counts.</x:v>
      </x:c>
      <x:c r="BA2" s="13" t="str">
        <x:v>World Value Models for Robotic Manipulation.txt</x:v>
      </x:c>
    </x:row>
    <x:row r="3">
      <x:c r="A3" s="13" t="str">
        <x:v>batch_13</x:v>
      </x:c>
      <x:c r="B3" s="13" t="str">
        <x:v>B13-002</x:v>
      </x:c>
      <x:c r="C3" s="13" t="str">
        <x:v>World models and predictive coding for cognitive and developmental robotics: frontiers and challenges</x:v>
      </x:c>
      <x:c r="D3" s="13" t="str">
        <x:v>Tadahiro Taniguchi; Shingo Murata; Masahiro Suzuki; Dimitri Ognibene; Pablo Lanillos; Emre Ugur; Lorenzo Jamone; Tomoaki Nakamura; Alejandra Ciria; Bruno Lara; Giovanni Pezzulo</x:v>
      </x:c>
      <x:c r="E3" s="13" t="n">
        <x:v>2023</x:v>
      </x:c>
      <x:c r="F3" s="13" t="str">
        <x:v>Published online 26 Jun 2023</x:v>
      </x:c>
      <x:c r="G3" s="13" t="str">
        <x:v>Advanced Robotics</x:v>
      </x:c>
      <x:c r="H3" s="13" t="str">
        <x:v>Peer-reviewed survey article</x:v>
      </x:c>
      <x:c r="I3" s="13" t="str">
        <x:v>Survey</x:v>
      </x:c>
      <x:c r="J3" s="13" t="str"/>
      <x:c r="K3" s="13" t="str">
        <x:v>10.1080/01691864.2023.2225232</x:v>
      </x:c>
      <x:c r="L3" s="13" t="str">
        <x:v>Unknown</x:v>
      </x:c>
      <x:c r="M3" s="13" t="str">
        <x:v>The article is open access, but no companion software repository is associated with the survey.</x:v>
      </x:c>
      <x:c r="N3" s="13" t="str">
        <x:v>Cognitive Robotics; Developmental Robotics; General Robotics</x:v>
      </x:c>
      <x:c r="O3" s="13" t="str">
        <x:v>Survey; World Models; Predictive Coding; Active Inference; Lifelong Learning</x:v>
      </x:c>
      <x:c r="P3" s="13" t="str">
        <x:v>N/A — extended planning, continual development, and lifelong learning are reviewed</x:v>
      </x:c>
      <x:c r="Q3" s="13" t="str">
        <x:v>N/A — language and symbol formation are discussed as research frontiers</x:v>
      </x:c>
      <x:c r="R3" s="13" t="str">
        <x:v>N/A — social interaction and human-robot collaboration are central reviewed topics</x:v>
      </x:c>
      <x:c r="S3" s="13" t="str">
        <x:v>N/A — multiple learned and cognitive world-model paradigms are reviewed</x:v>
      </x:c>
      <x:c r="T3" s="13" t="str">
        <x:v>N/A — latent state-space, predictive-coding, active-inference, neuro-symbolic, and cognitive architectures</x:v>
      </x:c>
      <x:c r="U3" s="13" t="str">
        <x:v>Connects AI world models with predictive coding, the free-energy principle, and active inference from a robot-centered sensorimotor perspective.</x:v>
      </x:c>
      <x:c r="V3" s="13" t="str">
        <x:v>N/A</x:v>
      </x:c>
      <x:c r="W3" s="13" t="str">
        <x:v>N/A</x:v>
      </x:c>
      <x:c r="X3" s="13" t="str">
        <x:v>N/A</x:v>
      </x:c>
      <x:c r="Y3" s="13" t="str">
        <x:v>N/A</x:v>
      </x:c>
      <x:c r="Z3" s="13" t="str">
        <x:v>N/A — latent planning, active inference, model-based RL, and goal recognition are reviewed</x:v>
      </x:c>
      <x:c r="AA3" s="13" t="str">
        <x:v>N/A</x:v>
      </x:c>
      <x:c r="AB3" s="13" t="str">
        <x:v>Belief, latent, symbolic, sensorimotor, and cognitive representations</x:v>
      </x:c>
      <x:c r="AC3" s="13" t="str">
        <x:v>N/A</x:v>
      </x:c>
      <x:c r="AD3" s="13" t="str">
        <x:v>The survey discusses extended expected-free-energy planning and lifelong development rather than one implemented planner.</x:v>
      </x:c>
      <x:c r="AE3" s="13" t="str">
        <x:v>N/A</x:v>
      </x:c>
      <x:c r="AF3" s="13" t="str">
        <x:v>N/A</x:v>
      </x:c>
      <x:c r="AG3" s="13" t="str">
        <x:v>N/A</x:v>
      </x:c>
      <x:c r="AH3" s="13" t="str">
        <x:v>N/A</x:v>
      </x:c>
      <x:c r="AI3" s="13" t="str">
        <x:v>N/A</x:v>
      </x:c>
      <x:c r="AJ3" s="13" t="str">
        <x:v>N/A</x:v>
      </x:c>
      <x:c r="AK3" s="13" t="str">
        <x:v>Multiple sensorimotor, bodily, social, language, and interoceptive modalities</x:v>
      </x:c>
      <x:c r="AL3" s="13" t="str">
        <x:v>Multiple, including reward, preferences, expected free energy, symbols, and social goals</x:v>
      </x:c>
      <x:c r="AM3" s="13" t="str">
        <x:v>Multiple</x:v>
      </x:c>
      <x:c r="AN3" s="13" t="str">
        <x:v>Multiple cognitive, developmental, neurorobotic, active-inference, affordance, and HRI studies</x:v>
      </x:c>
      <x:c r="AO3" s="13" t="str">
        <x:v>Multiple</x:v>
      </x:c>
      <x:c r="AP3" s="13" t="str">
        <x:v>Both / Survey</x:v>
      </x:c>
      <x:c r="AQ3" s="13" t="str">
        <x:v>Both / Survey</x:v>
      </x:c>
      <x:c r="AR3" s="13" t="str">
        <x:v>Clarifies the relationship among world models, predictive coding, the free-energy principle, and active inference for cognitive and developmental robotics.</x:v>
      </x:c>
      <x:c r="AS3" s="13" t="str">
        <x:v>Bridges modern AI world modeling and neuroscience-inspired predictive processing while organizing six major frontiers for embodied cognitive development.</x:v>
      </x:c>
      <x:c r="AT3" s="13" t="str">
        <x:v>The reviewed field remains dominated by simulation or offline pretrained models, is data hungry, has limited scalable software support, and lacks robust online adaptation and integration across policy, body, social, and symbolic processes.</x:v>
      </x:c>
      <x:c r="AU3" s="13" t="str">
        <x:v>Advance latent representations for planning, neuro-symbolic prediction, affordance learning, social world models, brain-inspired models, cognitive architectures, scalable software, lifelong adaptation, and emergent embodied behavior.</x:v>
      </x:c>
      <x:c r="AV3" s="13" t="str">
        <x:v>World models are defined as internal predictive models of how external, bodily, and social states evolve and generate future sensory observations.</x:v>
      </x:c>
      <x:c r="AW3" s="13" t="str">
        <x:v>The survey links learned dynamics to model-based planning and active inference through expected-free-energy optimization over future action sequences.</x:v>
      </x:c>
      <x:c r="AX3" s="13" t="str">
        <x:v>Continual learning, long-term development, extended planning, and adaptation to non-stationary environments are discussed as field-level goals.</x:v>
      </x:c>
      <x:c r="AY3" s="13" t="str">
        <x:v>High</x:v>
      </x:c>
      <x:c r="AZ3" s="13" t="str">
        <x:v>Foundational conceptual survey and peripheral to the manipulation-method corpus; retain for theory, active inference, lifelong learning, and social-world-model framing.</x:v>
      </x:c>
      <x:c r="BA3" s="13" t="str">
        <x:v>World models and predictive coding for cognitive and developmental robotics  frontiers and challenges.txt</x:v>
      </x:c>
    </x:row>
    <x:row r="4">
      <x:c r="A4" s="13" t="str">
        <x:v>batch_13</x:v>
      </x:c>
      <x:c r="B4" s="13" t="str">
        <x:v>B13-003</x:v>
      </x:c>
      <x:c r="C4" s="13" t="str">
        <x:v>World Model for Robot Learning: A Comprehensive Survey</x:v>
      </x:c>
      <x:c r="D4" s="13" t="str">
        <x:v>Bohan Hou; Gen Li; Jindou Jia; Tuo An; Xinying Guo; Sicong Leng; Haoran Geng; Yanjie Ze; Tatsuya Harada; Philip Torr; Oier Mees; Marc Pollefeys; Zhuang Liu; Jiajun Wu; Pieter Abbeel; Jitendra Malik; Yilun Du; Jianfei Yang</x:v>
      </x:c>
      <x:c r="E4" s="13" t="n">
        <x:v>2026</x:v>
      </x:c>
      <x:c r="F4" s="13" t="str">
        <x:v>First public appearance: arXiv:2605.00080 on 30 Apr 2026</x:v>
      </x:c>
      <x:c r="G4" s="13" t="str">
        <x:v>arXiv</x:v>
      </x:c>
      <x:c r="H4" s="13" t="str">
        <x:v>Preprint</x:v>
      </x:c>
      <x:c r="I4" s="13" t="str">
        <x:v>Survey</x:v>
      </x:c>
      <x:c r="J4" s="13" t="str"/>
      <x:c r="K4" s="13" t="str">
        <x:v>arXiv:2605.00080</x:v>
      </x:c>
      <x:c r="L4" s="13" t="str">
        <x:v>Yes</x:v>
      </x:c>
      <x:c r="M4" s="13" t="str">
        <x:v>The authors maintain an Awesome World Model for Robotics Policy GitHub repository and a companion project website.</x:v>
      </x:c>
      <x:c r="N4" s="13" t="str">
        <x:v>General Robotics; Manipulation; Navigation; Autonomous Driving</x:v>
      </x:c>
      <x:c r="O4" s="13" t="str">
        <x:v>Survey; Robot World Models; Policy Learning; Simulation; Evaluation; Video Generation</x:v>
      </x:c>
      <x:c r="P4" s="13" t="str">
        <x:v>N/A — long-horizon prediction, policy learning, and planning are reviewed</x:v>
      </x:c>
      <x:c r="Q4" s="13" t="str">
        <x:v>N/A — language-conditioned policies and world models are extensively reviewed</x:v>
      </x:c>
      <x:c r="R4" s="13" t="str">
        <x:v>N/A</x:v>
      </x:c>
      <x:c r="S4" s="13" t="str">
        <x:v>N/A — the survey reviews policy-coupled, simulator, latent, video, and structured world models</x:v>
      </x:c>
      <x:c r="T4" s="13" t="str">
        <x:v>N/A — video generation, latent dynamics, JEPA, diffusion, unified VLA, MoE/MoT, and symbolic models</x:v>
      </x:c>
      <x:c r="U4" s="13" t="str">
        <x:v>Defines robot world models functionally as predictive structures that support action generation, planning, simulation, evaluation, and data amplification.</x:v>
      </x:c>
      <x:c r="V4" s="13" t="str">
        <x:v>N/A</x:v>
      </x:c>
      <x:c r="W4" s="13" t="str">
        <x:v>N/A</x:v>
      </x:c>
      <x:c r="X4" s="13" t="str">
        <x:v>N/A</x:v>
      </x:c>
      <x:c r="Y4" s="13" t="str">
        <x:v>N/A</x:v>
      </x:c>
      <x:c r="Z4" s="13" t="str">
        <x:v>N/A — explicit MPC, rollout evaluation, simulator-based RL, and high-level planning are reviewed</x:v>
      </x:c>
      <x:c r="AA4" s="13" t="str">
        <x:v>N/A</x:v>
      </x:c>
      <x:c r="AB4" s="13" t="str">
        <x:v>Multiple: pixels, video, latent state, structured state, symbolic relations, rewards, and values</x:v>
      </x:c>
      <x:c r="AC4" s="13" t="str">
        <x:v>N/A</x:v>
      </x:c>
      <x:c r="AD4" s="13" t="str">
        <x:v>The paper reviews short- and long-horizon prediction and control across many systems rather than reporting one planner.</x:v>
      </x:c>
      <x:c r="AE4" s="13" t="str">
        <x:v>N/A</x:v>
      </x:c>
      <x:c r="AF4" s="13" t="str">
        <x:v>N/A</x:v>
      </x:c>
      <x:c r="AG4" s="13" t="str">
        <x:v>N/A</x:v>
      </x:c>
      <x:c r="AH4" s="13" t="str">
        <x:v>N/A</x:v>
      </x:c>
      <x:c r="AI4" s="13" t="str">
        <x:v>N/A</x:v>
      </x:c>
      <x:c r="AJ4" s="13" t="str">
        <x:v>N/A</x:v>
      </x:c>
      <x:c r="AK4" s="13" t="str">
        <x:v>Multiple: RGB/video, language, proprioception, depth, tactile, force, and driving sensors</x:v>
      </x:c>
      <x:c r="AL4" s="13" t="str">
        <x:v>Multiple</x:v>
      </x:c>
      <x:c r="AM4" s="13" t="str">
        <x:v>Multiple</x:v>
      </x:c>
      <x:c r="AN4" s="13" t="str">
        <x:v>Representative robot world-model datasets, training corpora, manipulation and navigation benchmarks, simulator suites, and evaluation protocols</x:v>
      </x:c>
      <x:c r="AO4" s="13" t="str">
        <x:v>Multiple</x:v>
      </x:c>
      <x:c r="AP4" s="13" t="str">
        <x:v>Both / Survey</x:v>
      </x:c>
      <x:c r="AQ4" s="13" t="str">
        <x:v>Both / Survey</x:v>
      </x:c>
      <x:c r="AR4" s="13" t="str">
        <x:v>Provides a policy-centric taxonomy of how robot world models couple to policies and serve as learned simulators, evaluators, planners, and video generators.</x:v>
      </x:c>
      <x:c r="AS4" s="13" t="str">
        <x:v>Unifies architectural and functional perspectives and distinguishes foresight, imagination-driven planning, and data amplification as central actionable capabilities.</x:v>
      </x:c>
      <x:c r="AT4" s="13" t="str">
        <x:v>The field lacks reliable action-conditioned causal consistency, efficient training and inference, multimodal physical sensing, integration with formal control and symbolic structure, and standardized function-aware evaluation.</x:v>
      </x:c>
      <x:c r="AU4" s="13" t="str">
        <x:v>Improve causal action conditioning, latent and efficient inference, tactile and force integration, hybrid learned and classical control, symbolic or object-centric abstraction, and metrics for action sensitivity, long-horizon consistency, executability, and control utility.</x:v>
      </x:c>
      <x:c r="AV4" s="13" t="str">
        <x:v>The survey centers on predictive models of future robot-environment evolution and distinguishes passive, controllable, latent, video, simulator, and symbolic formulations.</x:v>
      </x:c>
      <x:c r="AW4" s="13" t="str">
        <x:v>It reviews imagined-rollout candidate ranking, MPC, gradient-based planning, simulator-based policy refinement, and policy evaluation.</x:v>
      </x:c>
      <x:c r="AX4" s="13" t="str">
        <x:v>Long-horizon reliability and error accumulation are identified as central open challenges, especially for pixel-space world models.</x:v>
      </x:c>
      <x:c r="AY4" s="13" t="str">
        <x:v>High</x:v>
      </x:c>
      <x:c r="AZ4" s="13" t="str">
        <x:v>Core final survey for the corpus. Its broad action definition includes language-conditioned futures; preserve the master dataset's stricter method-level action-conditioning annotation separately.</x:v>
      </x:c>
      <x:c r="BA4" s="13" t="str">
        <x:v>World Model for Robot Learning_ A Comprehensive Survey.txt</x:v>
      </x:c>
    </x:row>
  </x:sheetData>
  <x:pageMargins left="0.7" right="0.7" top="0.75" bottom="0.75" header="0.3" footer="0.3"/>
  <x:tableParts count="1">
    <x:tablePart xmlns:r="http://schemas.openxmlformats.org/officeDocument/2006/relationships" r:id="R03e623b51f9d45f4"/>
  </x:tableParts>
</x:worksheet>
</file>

<file path=xl/worksheets/sheet3.xml><?xml version="1.0" encoding="utf-8"?>
<x:worksheet xmlns:x="http://schemas.openxmlformats.org/spreadsheetml/2006/main">
  <x:sheetFormatPr defaultRowHeight="15"/>
  <x:cols>
    <x:col min="1" max="1" width="25" hidden="0" customWidth="1"/>
    <x:col min="2" max="2" width="39" hidden="0" customWidth="1"/>
    <x:col min="3" max="3" width="52" hidden="0" customWidth="1"/>
    <x:col min="4" max="4" width="56" hidden="0" customWidth="1"/>
  </x:cols>
  <x:sheetData>
    <x:row r="1">
      <x:c r="A1" s="20" t="str">
        <x:v>Field</x:v>
      </x:c>
      <x:c r="B1" s="20" t="str">
        <x:v>Definition</x:v>
      </x:c>
      <x:c r="C1" s="20" t="str">
        <x:v>Allowed / normalized values</x:v>
      </x:c>
      <x:c r="D1" s="20" t="str">
        <x:v>Annotation rule</x:v>
      </x:c>
    </x:row>
    <x:row r="2">
      <x:c r="A2" s="13" t="str">
        <x:v>batch_id</x:v>
      </x:c>
      <x:c r="B2" s="13" t="str">
        <x:v>Annotation batch identifier</x:v>
      </x:c>
      <x:c r="C2" s="13" t="str">
        <x:v>batch_01; batch_02; …</x:v>
      </x:c>
      <x:c r="D2" s="13" t="str">
        <x:v>Used for provenance and rollback.</x:v>
      </x:c>
    </x:row>
    <x:row r="3">
      <x:c r="A3" s="13" t="str">
        <x:v>paper_id</x:v>
      </x:c>
      <x:c r="B3" s="13" t="str">
        <x:v>Stable internal identifier</x:v>
      </x:c>
      <x:c r="C3" s="13" t="str">
        <x:v>String</x:v>
      </x:c>
      <x:c r="D3" s="13" t="str">
        <x:v>Unique across all batches.</x:v>
      </x:c>
    </x:row>
    <x:row r="4">
      <x:c r="A4" s="13" t="str">
        <x:v>year</x:v>
      </x:c>
      <x:c r="B4" s="13" t="str">
        <x:v>First public appearance year</x:v>
      </x:c>
      <x:c r="C4" s="13" t="str">
        <x:v>Integer</x:v>
      </x:c>
      <x:c r="D4" s="13" t="str">
        <x:v>Use the first public preprint or publication; preserve later dates in year_basis.</x:v>
      </x:c>
    </x:row>
    <x:row r="5">
      <x:c r="A5" s="13" t="str">
        <x:v>paper_type</x:v>
      </x:c>
      <x:c r="B5" s="13" t="str">
        <x:v>Nature of the paper</x:v>
      </x:c>
      <x:c r="C5" s="13" t="str">
        <x:v>Method; Survey; Benchmark; Dataset</x:v>
      </x:c>
      <x:c r="D5" s="13" t="str">
        <x:v>Non-method papers are excluded from proposed-method counts.</x:v>
      </x:c>
    </x:row>
    <x:row r="6">
      <x:c r="A6" s="13" t="str">
        <x:v>long_horizon</x:v>
      </x:c>
      <x:c r="B6" s="13" t="str">
        <x:v>Whether an evaluated method task is temporally extended</x:v>
      </x:c>
      <x:c r="C6" s="13" t="str">
        <x:v>Yes; No; No / Unclear; N/A</x:v>
      </x:c>
      <x:c r="D6" s="13" t="str">
        <x:v>A model can reason over temporal chunks without evaluating long-horizon tasks.</x:v>
      </x:c>
    </x:row>
    <x:row r="7">
      <x:c r="A7" s="13" t="str">
        <x:v>uses_world_model</x:v>
      </x:c>
      <x:c r="B7" s="13" t="str">
        <x:v>Whether the downstream method predicts environment evolution</x:v>
      </x:c>
      <x:c r="C7" s="13" t="str">
        <x:v>Yes; No; Ambiguous; N/A</x:v>
      </x:c>
      <x:c r="D7" s="13" t="str">
        <x:v>Passive future prediction can qualify; action conditioning is recorded separately.</x:v>
      </x:c>
    </x:row>
    <x:row r="8">
      <x:c r="A8" s="13" t="str">
        <x:v>world_model_family</x:v>
      </x:c>
      <x:c r="B8" s="13" t="str">
        <x:v>Primary normalized world-model family</x:v>
      </x:c>
      <x:c r="C8" s="13" t="str">
        <x:v>JEPA; Latent Dynamics; RSSM; Diffusion; Video Prediction; Transformer; VAE; Object-Centric; Hybrid; None; N/A</x:v>
      </x:c>
      <x:c r="D8" s="13" t="str"/>
    </x:row>
    <x:row r="9">
      <x:c r="A9" s="13" t="str">
        <x:v>uses_planning</x:v>
      </x:c>
      <x:c r="B9" s="13" t="str">
        <x:v>Whether behavior is explicitly optimized through action search, rollout selection, or structured decomposition</x:v>
      </x:c>
      <x:c r="C9" s="13" t="str">
        <x:v>Yes; No; N/A</x:v>
      </x:c>
      <x:c r="D9" s="13" t="str">
        <x:v>Offline value estimation and policy-data filtering are No.</x:v>
      </x:c>
    </x:row>
    <x:row r="10">
      <x:c r="A10" s="13" t="str">
        <x:v>planning_method</x:v>
      </x:c>
      <x:c r="B10" s="13" t="str">
        <x:v>Primary normalized planning mechanism</x:v>
      </x:c>
      <x:c r="C10" s="13" t="str">
        <x:v>MPC; CEM; Best-of-N; Bayesian Optimization; MCTS; A*; Graph Search; Active Inference; Hierarchical; Language Planner; None; N/A</x:v>
      </x:c>
      <x:c r="D10" s="13" t="str"/>
    </x:row>
    <x:row r="11">
      <x:c r="A11" s="13" t="str">
        <x:v>planning_horizon</x:v>
      </x:c>
      <x:c r="B11" s="13" t="str">
        <x:v>Horizon of explicit planning</x:v>
      </x:c>
      <x:c r="C11" s="13" t="str">
        <x:v>None; Short; Medium; Long; N/A</x:v>
      </x:c>
      <x:c r="D11" s="13" t="str">
        <x:v>Keep task horizon, prediction window, and planner horizon separate.</x:v>
      </x:c>
    </x:row>
    <x:row r="12">
      <x:c r="A12" s="13" t="str">
        <x:v>planning_role</x:v>
      </x:c>
      <x:c r="B12" s="13" t="str">
        <x:v>Where planning or action generation occurs</x:v>
      </x:c>
      <x:c r="C12" s="13" t="str">
        <x:v>None; Local Controller; Skill Planner; High-Level Planner; Full End-to-End Planner; N/A</x:v>
      </x:c>
      <x:c r="D12" s="13" t="str"/>
    </x:row>
    <x:row r="13">
      <x:c r="A13" s="13" t="str">
        <x:v>replanning_online</x:v>
      </x:c>
      <x:c r="B13" s="13" t="str">
        <x:v>Whether plans or actions are refreshed using new observations</x:v>
      </x:c>
      <x:c r="C13" s="13" t="str">
        <x:v>Yes; No; No / Unclear; N/A; qualified text</x:v>
      </x:c>
      <x:c r="D13" s="13" t="str">
        <x:v>Offline evaluators are No.</x:v>
      </x:c>
    </x:row>
    <x:row r="14">
      <x:c r="A14" s="13" t="str">
        <x:v>confidence</x:v>
      </x:c>
      <x:c r="B14" s="13" t="str">
        <x:v>Confidence in the annotation row</x:v>
      </x:c>
      <x:c r="C14" s="13" t="str">
        <x:v>High; Medium; Low</x:v>
      </x:c>
      <x:c r="D14" s="13" t="str">
        <x:v>Put field-specific uncertainty in review_flags.</x:v>
      </x:c>
    </x:row>
    <x:row r="15">
      <x:c r="A15" s="13" t="str">
        <x:v>review_flags</x:v>
      </x:c>
      <x:c r="B15" s="13" t="str">
        <x:v>Scope and interpretation notes</x:v>
      </x:c>
      <x:c r="C15" s="13" t="str">
        <x:v>Free text</x:v>
      </x:c>
      <x:c r="D15" s="13" t="str">
        <x:v>Preserves strict method definitions and survey-level conceptual differences.</x:v>
      </x:c>
    </x:row>
  </x:sheetData>
  <x:pageMargins left="0.7" right="0.7" top="0.75" bottom="0.75" header="0.3" footer="0.3"/>
  <x:tableParts count="1">
    <x:tablePart xmlns:r="http://schemas.openxmlformats.org/officeDocument/2006/relationships" r:id="R834704a0295346be"/>
  </x:tableParts>
</x:worksheet>
</file>