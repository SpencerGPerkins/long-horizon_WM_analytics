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a591f2d6bd24ed9" /></Relationships>
</file>

<file path=xl/workbook.xml><?xml version="1.0" encoding="utf-8"?>
<x:workbook xmlns:x="http://schemas.openxmlformats.org/spreadsheetml/2006/main">
  <x:sheets>
    <x:sheet xmlns:r="http://schemas.openxmlformats.org/officeDocument/2006/relationships" name="Dashboard" sheetId="1" r:id="Ra4a25585e5c34635"/>
    <x:sheet xmlns:r="http://schemas.openxmlformats.org/officeDocument/2006/relationships" name="Annotations" sheetId="2" r:id="R9cd7236219114634"/>
    <x:sheet xmlns:r="http://schemas.openxmlformats.org/officeDocument/2006/relationships" name="Taxonomy" sheetId="3" r:id="R7a418b25e43d45a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b/>
      <x:sz val="11"/>
      <x:color rgb="FFFFFFFF"/>
      <x:name val="Carlito"/>
    </x:font>
    <x:font>
      <x:b/>
      <x:sz val="16"/>
      <x:color rgb="FFFFFFFF"/>
      <x:name val="Carlito"/>
    </x:font>
    <x:font>
      <x:b/>
      <x:sz val="11"/>
      <x:name val="Carlito"/>
    </x:font>
    <x:font>
      <x:b/>
      <x:sz val="13"/>
      <x:name val="Carlito"/>
    </x:font>
  </x:fonts>
  <x:fills count="6">
    <x:fill>
      <x:patternFill patternType="none"/>
    </x:fill>
    <x:fill>
      <x:patternFill patternType="gray125"/>
    </x:fill>
    <x:fill>
      <x:patternFill patternType="solid">
        <x:fgColor rgb="FF1F4E78"/>
      </x:patternFill>
    </x:fill>
    <x:fill>
      <x:patternFill patternType="solid">
        <x:fgColor rgb="FF2F75B5"/>
      </x:patternFill>
    </x:fill>
    <x:fill>
      <x:patternFill patternType="solid">
        <x:fgColor rgb="FFD9EAF7"/>
      </x:patternFill>
    </x:fill>
    <x:fill>
      <x:patternFill patternType="solid">
        <x:fgColor rgb="FFF3F6F9"/>
      </x:patternFill>
    </x:fill>
  </x:fills>
  <x:borders count="2">
    <x:border/>
    <x:border/>
  </x:borders>
  <x:cellStyleXfs count="1">
    <x:xf numFmtId="0" fontId="0" fillId="0" borderId="0"/>
  </x:cellStyleXfs>
  <x:cellXfs count="5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wrapText="1"/>
    </x:xf>
    <x:xf numFmtId="0" fontId="1" fillId="3" borderId="1" xfId="0" applyNumberFormat="1" applyFont="1" applyFill="1" applyBorder="1" applyAlignment="1">
      <x:alignment horizontal="center"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4" fillId="0" borderId="0" xfId="0" applyNumberFormat="1" applyFont="1" applyFill="1" applyBorder="1"/>
    <x:xf numFmtId="200" fontId="4" fillId="0" borderId="0" xfId="0" applyNumberFormat="1" applyFont="1" applyFill="1" applyBorder="1"/>
    <x:xf numFmtId="200" fontId="4" fillId="0" borderId="0" xfId="0" applyNumberFormat="1" applyFont="1" applyFill="1" applyBorder="1" applyAlignment="1">
      <x:alignment horizontal="center"/>
    </x:xf>
    <x:xf numFmtId="0" fontId="4" fillId="0" borderId="1" xfId="0" applyNumberFormat="1" applyFont="1" applyFill="1" applyBorder="1"/>
    <x:xf numFmtId="200" fontId="4" fillId="0" borderId="1" xfId="0" applyNumberFormat="1" applyFont="1" applyFill="1" applyBorder="1"/>
    <x:xf numFmtId="200" fontId="4" fillId="0" borderId="1" xfId="0" applyNumberFormat="1" applyFont="1" applyFill="1" applyBorder="1" applyAlignment="1">
      <x:alignment horizontal="center"/>
    </x:xf>
    <x:xf numFmtId="0" fontId="1" fillId="3" borderId="0" xfId="0" applyNumberFormat="1" applyFont="1" applyFill="1" applyBorder="1" applyAlignment="1">
      <x:alignment horizontal="center"/>
    </x:xf>
    <x:xf numFmtId="0" fontId="1" fillId="3" borderId="1" xfId="0" applyNumberFormat="1" applyFont="1" applyFill="1" applyBorder="1" applyAlignment="1">
      <x:alignment horizontal="center"/>
    </x:xf>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xf numFmtId="200" fontId="0" fillId="0" borderId="0" xfId="0" applyNumberFormat="1" applyFont="1" applyFill="1" applyBorder="1"/>
    <x:xf numFmtId="200" fontId="0" fillId="0" borderId="0" xfId="0" applyNumberFormat="1" applyFont="1" applyFill="1" applyBorder="1" applyAlignment="1">
      <x:alignment horizontal="center"/>
    </x:xf>
    <x:xf numFmtId="200" fontId="0" fillId="0" borderId="1" xfId="0" applyNumberFormat="1" applyFont="1" applyFill="1" applyBorder="1"/>
    <x:xf numFmtId="200" fontId="0" fillId="0"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4d2ea55a87b49ba" /><Relationship Type="http://schemas.openxmlformats.org/officeDocument/2006/relationships/theme" Target="/xl/theme/theme1.xml" Id="R86e3509fde64469f" /><Relationship Type="http://schemas.openxmlformats.org/officeDocument/2006/relationships/sharedStrings" Target="/xl/sharedStrings.xml" Id="Rc38eb4f37be0457b" /><Relationship Type="http://schemas.openxmlformats.org/officeDocument/2006/relationships/worksheet" Target="/xl/worksheets/sheet1.xml" Id="Ra4a25585e5c34635" /><Relationship Type="http://schemas.openxmlformats.org/officeDocument/2006/relationships/worksheet" Target="/xl/worksheets/sheet2.xml" Id="R9cd7236219114634" /><Relationship Type="http://schemas.openxmlformats.org/officeDocument/2006/relationships/worksheet" Target="/xl/worksheets/sheet3.xml" Id="R7a418b25e43d45ab" /></Relationships>
</file>

<file path=xl/drawings/_rels/drawing1.xml.rels>&#65279;<?xml version="1.0" encoding="utf-8"?><Relationships xmlns="http://schemas.openxmlformats.org/package/2006/relationships"><Relationship Type="http://schemas.openxmlformats.org/officeDocument/2006/relationships/chart" Target="/xl/drawings/charts/chart1.xml" Id="R6d4c99a375734c5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Corpus by First-Publication Year</a:t>
            </a:r>
          </a:p>
        </c:rich>
      </c:tx>
      <c:overlay val="0"/>
    </c:title>
    <c:autoTitleDeleted val="0"/>
    <c:plotArea>
      <c:layout/>
      <c:lineChart>
        <c:grouping val="standard"/>
        <c:ser>
          <c:idx val="0"/>
          <c:order val="0"/>
          <c:tx>
            <c:v>Methods</c:v>
          </c:tx>
          <c:cat>
            <c:strRef>
              <c:f>'Dashboard'!$A$19:$A$21</c:f>
              <c:strCache>
                <c:ptCount val="0"/>
              </c:strCache>
            </c:strRef>
          </c:cat>
          <c:val>
            <c:numRef>
              <c:f>'Dashboard'!$B$19:$B$21</c:f>
              <c:numCache>
                <c:formatCode>0</c:formatCode>
                <c:ptCount val="0"/>
              </c:numCache>
            </c:numRef>
          </c:val>
          <c:smooth val="0"/>
        </c:ser>
        <c:ser>
          <c:idx val="1"/>
          <c:order val="1"/>
          <c:tx>
            <c:v>Surveys</c:v>
          </c:tx>
          <c:cat>
            <c:strRef>
              <c:f>'Dashboard'!$A$19:$A$21</c:f>
              <c:strCache>
                <c:ptCount val="0"/>
              </c:strCache>
            </c:strRef>
          </c:cat>
          <c:val>
            <c:numRef>
              <c:f>'Dashboard'!$C$19:$C$21</c:f>
              <c:numCache>
                <c:formatCode>0</c:formatCode>
                <c:ptCount val="0"/>
              </c:numCache>
            </c:numRef>
          </c:val>
          <c:smooth val="0"/>
        </c:ser>
        <c:ser>
          <c:idx val="2"/>
          <c:order val="2"/>
          <c:tx>
            <c:v>Benchmarks</c:v>
          </c:tx>
          <c:cat>
            <c:strRef>
              <c:f>'Dashboard'!$A$19:$A$21</c:f>
              <c:strCache>
                <c:ptCount val="0"/>
              </c:strCache>
            </c:strRef>
          </c:cat>
          <c:val>
            <c:numRef>
              <c:f>'Dashboard'!$D$19:$D$21</c:f>
              <c:numCache>
                <c:formatCode>0</c:formatCode>
                <c:ptCount val="0"/>
              </c:numCache>
            </c:numRef>
          </c:val>
          <c:smooth val="0"/>
        </c:ser>
        <c:ser>
          <c:idx val="3"/>
          <c:order val="3"/>
          <c:tx>
            <c:v>Datasets</c:v>
          </c:tx>
          <c:cat>
            <c:strRef>
              <c:f>'Dashboard'!$A$19:$A$21</c:f>
              <c:strCache>
                <c:ptCount val="0"/>
              </c:strCache>
            </c:strRef>
          </c:cat>
          <c:val>
            <c:numRef>
              <c:f>'Dashboard'!$E$19:$E$21</c:f>
              <c:numCache>
                <c:formatCode>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16</xdr:row>
      <xdr:rowOff>0</xdr:rowOff>
    </xdr:from>
    <xdr:to>
      <xdr:col>14</xdr:col>
      <xdr:colOff>0</xdr:colOff>
      <xdr:row>34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d4c99a375734c5c"/>
        </a:graphicData>
      </a:graphic>
    </xdr:graphicFrame>
    <xdr:clientData/>
  </xdr:twoCellAnchor>
</xdr:wsDr>
</file>

<file path=xl/tables/table1.xml><?xml version="1.0" encoding="utf-8"?>
<x:table xmlns:x="http://schemas.openxmlformats.org/spreadsheetml/2006/main" id="1" name="Batch14Annotations" displayName="Batch14Annotations" ref="A1:BA6" headerRowCount="1">
  <x:tableColumns count="53">
    <x:tableColumn id="1" name="batch_id"/>
    <x:tableColumn id="2" name="paper_id"/>
    <x:tableColumn id="3" name="title"/>
    <x:tableColumn id="4" name="authors"/>
    <x:tableColumn id="5" name="year"/>
    <x:tableColumn id="6" name="year_basis"/>
    <x:tableColumn id="7" name="venue"/>
    <x:tableColumn id="8" name="publication_status"/>
    <x:tableColumn id="9" name="paper_type"/>
    <x:tableColumn id="10" name="citation_count"/>
    <x:tableColumn id="11" name="doi_or_identifier"/>
    <x:tableColumn id="12" name="open_source"/>
    <x:tableColumn id="13" name="open_source_notes"/>
    <x:tableColumn id="14" name="task_domain"/>
    <x:tableColumn id="15" name="primary_problem"/>
    <x:tableColumn id="16" name="long_horizon"/>
    <x:tableColumn id="17" name="language_conditioned"/>
    <x:tableColumn id="18" name="human_robot_interaction"/>
    <x:tableColumn id="19" name="uses_world_model"/>
    <x:tableColumn id="20" name="world_model_family"/>
    <x:tableColumn id="21" name="world_model_detail"/>
    <x:tableColumn id="22" name="predictive_space"/>
    <x:tableColumn id="23" name="prediction_target"/>
    <x:tableColumn id="24" name="action_conditioned"/>
    <x:tableColumn id="25" name="video_prediction"/>
    <x:tableColumn id="26" name="uses_planning"/>
    <x:tableColumn id="27" name="planning_method"/>
    <x:tableColumn id="28" name="planning_representation"/>
    <x:tableColumn id="29" name="planning_horizon"/>
    <x:tableColumn id="30" name="horizon_basis"/>
    <x:tableColumn id="31" name="hierarchical_planning"/>
    <x:tableColumn id="32" name="replanning_online"/>
    <x:tableColumn id="33" name="planning_role"/>
    <x:tableColumn id="34" name="learning_type"/>
    <x:tableColumn id="35" name="policy_type"/>
    <x:tableColumn id="36" name="pretraining"/>
    <x:tableColumn id="37" name="observation_modality"/>
    <x:tableColumn id="38" name="goal_representation"/>
    <x:tableColumn id="39" name="action_space"/>
    <x:tableColumn id="40" name="benchmark"/>
    <x:tableColumn id="41" name="robot_platform"/>
    <x:tableColumn id="42" name="simulation"/>
    <x:tableColumn id="43" name="real_robot"/>
    <x:tableColumn id="44" name="main_contribution"/>
    <x:tableColumn id="45" name="novelty"/>
    <x:tableColumn id="46" name="limitations"/>
    <x:tableColumn id="47" name="future_work"/>
    <x:tableColumn id="48" name="evidence_world_model"/>
    <x:tableColumn id="49" name="evidence_planning"/>
    <x:tableColumn id="50" name="evidence_horizon"/>
    <x:tableColumn id="51" name="confidence"/>
    <x:tableColumn id="52" name="review_flags"/>
    <x:tableColumn id="53" name="source_document"/>
  </x:tableColumns>
  <x:tableStyleInfo name="TableStyleMedium2" showRowStripes="1"/>
</x:table>
</file>

<file path=xl/tables/table2.xml><?xml version="1.0" encoding="utf-8"?>
<x:table xmlns:x="http://schemas.openxmlformats.org/spreadsheetml/2006/main" id="2" name="Batch14AnnotationsTaxonomy" displayName="Batch14AnnotationsTaxonomy" ref="A1:D8" headerRowCount="1">
  <x:tableColumns count="4">
    <x:tableColumn id="1" name="Field"/>
    <x:tableColumn id="2" name="Definition"/>
    <x:tableColumn id="3" name="Allowed / normalized values"/>
    <x:tableColumn id="4" name="Annotation rul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f5a1774ba19c4019" /></Relationships>
</file>

<file path=xl/worksheets/_rels/sheet2.xml.rels>&#65279;<?xml version="1.0" encoding="utf-8"?><Relationships xmlns="http://schemas.openxmlformats.org/package/2006/relationships"><Relationship Type="http://schemas.openxmlformats.org/officeDocument/2006/relationships/table" Target="/xl/tables/table1.xml" Id="R2ee0e28aa2e14fef" /></Relationships>
</file>

<file path=xl/worksheets/_rels/sheet3.xml.rels>&#65279;<?xml version="1.0" encoding="utf-8"?><Relationships xmlns="http://schemas.openxmlformats.org/package/2006/relationships"><Relationship Type="http://schemas.openxmlformats.org/officeDocument/2006/relationships/table" Target="/xl/tables/table2.xml" Id="R132d3582b66f4c27" /></Relationships>
</file>

<file path=xl/worksheets/sheet1.xml><?xml version="1.0" encoding="utf-8"?>
<x:worksheet xmlns:x="http://schemas.openxmlformats.org/spreadsheetml/2006/main">
  <x:sheetFormatPr defaultRowHeight="15"/>
  <x:cols>
    <x:col min="1" max="1" width="39" hidden="0" customWidth="1"/>
    <x:col min="2" max="2" width="16" hidden="0" customWidth="1"/>
    <x:col min="3" max="3" width="51" hidden="0" customWidth="1"/>
    <x:col min="4" max="4" width="18" hidden="0" customWidth="1"/>
    <x:col min="5" max="5" width="18" hidden="0" customWidth="1"/>
    <x:col min="6" max="6" width="18" hidden="0" customWidth="1"/>
    <x:col min="7" max="7" width="18" hidden="0" customWidth="1"/>
    <x:col min="8" max="8" width="18" hidden="0" customWidth="1"/>
  </x:cols>
  <x:sheetData>
    <x:row r="1">
      <x:c r="A1" s="26" t="str">
        <x:v>WM &amp; Planning Analytics — Batch 14</x:v>
      </x:c>
      <x:c r="B1" s="26"/>
      <x:c r="C1" s="26"/>
      <x:c r="D1" s="26"/>
      <x:c r="E1" s="26"/>
      <x:c r="F1" s="26"/>
      <x:c r="G1" s="26"/>
      <x:c r="H1" s="26"/>
      <x:c r="I1" s="26"/>
    </x:row>
    <x:row r="2">
      <x:c r="A2" s="26"/>
      <x:c r="B2" s="26"/>
      <x:c r="C2" s="26"/>
      <x:c r="D2" s="26"/>
      <x:c r="E2" s="26"/>
      <x:c r="F2" s="26"/>
      <x:c r="G2" s="26"/>
      <x:c r="H2" s="26"/>
      <x:c r="I2" s="26"/>
    </x:row>
    <x:row r="4">
      <x:c r="A4" s="32" t="str">
        <x:v>Total papers</x:v>
      </x:c>
      <x:c r="B4" s="38" t="n">
        <x:f>COUNTA(Annotations!$C:$C)-1</x:f>
        <x:v>5</x:v>
      </x:c>
      <x:c r="D4" s="42" t="str">
        <x:v>Batch 14 research-direction additions</x:v>
      </x:c>
      <x:c r="E4" s="42"/>
      <x:c r="F4" s="42"/>
      <x:c r="G4" s="42"/>
      <x:c r="H4" s="42"/>
    </x:row>
    <x:row r="5">
      <x:c r="A5" s="32" t="str">
        <x:v>Method papers</x:v>
      </x:c>
      <x:c r="B5" s="38" t="n">
        <x:f>COUNTIF(Annotations!$I:$I,"Method")</x:f>
        <x:v>5</x:v>
      </x:c>
      <x:c r="D5" s="46" t="str">
        <x:v>• H-WM is the closest complete symbolic–visual hierarchical world-model baseline.
• The semantic–geometric–physical skill-transfer paper is the closest explicit graph-of-graphs knowledge structure.
• The bimanual task-graph paper is the closest learned shared graph-embedding precedent.
• AgentChord provides contingency and forward-moving recovery branches.
• RoboHorizon is an LLM-assisted long-horizon model-based RL comparison.</x:v>
      </x:c>
      <x:c r="E5" s="46"/>
      <x:c r="F5" s="46"/>
      <x:c r="G5" s="46"/>
      <x:c r="H5" s="46"/>
    </x:row>
    <x:row r="6">
      <x:c r="A6" s="32" t="str">
        <x:v>Survey papers</x:v>
      </x:c>
      <x:c r="B6" s="38" t="n">
        <x:f>COUNTIF(Annotations!$I:$I,"Survey")</x:f>
        <x:v>0</x:v>
      </x:c>
      <x:c r="D6" s="46"/>
      <x:c r="E6" s="46"/>
      <x:c r="F6" s="46"/>
      <x:c r="G6" s="46"/>
      <x:c r="H6" s="46"/>
    </x:row>
    <x:row r="7">
      <x:c r="A7" s="32" t="str">
        <x:v>Benchmark papers</x:v>
      </x:c>
      <x:c r="B7" s="38" t="n">
        <x:f>COUNTIF(Annotations!$I:$I,"Benchmark")</x:f>
        <x:v>0</x:v>
      </x:c>
      <x:c r="D7" s="46"/>
      <x:c r="E7" s="46"/>
      <x:c r="F7" s="46"/>
      <x:c r="G7" s="46"/>
      <x:c r="H7" s="46"/>
    </x:row>
    <x:row r="8">
      <x:c r="A8" s="32" t="str">
        <x:v>Dataset papers</x:v>
      </x:c>
      <x:c r="B8" s="38" t="n">
        <x:f>COUNTIF(Annotations!$I:$I,"Dataset")</x:f>
        <x:v>0</x:v>
      </x:c>
      <x:c r="D8" s="46"/>
      <x:c r="E8" s="46"/>
      <x:c r="F8" s="46"/>
      <x:c r="G8" s="46"/>
      <x:c r="H8" s="46"/>
    </x:row>
    <x:row r="9">
      <x:c r="A9" s="32" t="str">
        <x:v>Method papers using world models</x:v>
      </x:c>
      <x:c r="B9" s="38" t="n">
        <x:f>COUNTIFS(Annotations!$I:$I,"Method",Annotations!$S:$S,"Yes")</x:f>
        <x:v>3</x:v>
      </x:c>
      <x:c r="D9" s="46"/>
      <x:c r="E9" s="46"/>
      <x:c r="F9" s="46"/>
      <x:c r="G9" s="46"/>
      <x:c r="H9" s="46"/>
    </x:row>
    <x:row r="10">
      <x:c r="A10" s="32" t="str">
        <x:v>Definition-sensitive WM papers</x:v>
      </x:c>
      <x:c r="B10" s="38" t="n">
        <x:f>COUNTIFS(Annotations!$I:$I,"Method",Annotations!$S:$S,"Ambiguous")</x:f>
        <x:v>0</x:v>
      </x:c>
      <x:c r="D10" s="46"/>
      <x:c r="E10" s="46"/>
      <x:c r="F10" s="46"/>
      <x:c r="G10" s="46"/>
      <x:c r="H10" s="46"/>
    </x:row>
    <x:row r="11">
      <x:c r="A11" s="32" t="str">
        <x:v>Method papers with explicit planning</x:v>
      </x:c>
      <x:c r="B11" s="38" t="n">
        <x:f>COUNTIFS(Annotations!$I:$I,"Method",Annotations!$Z:$Z,"Yes")</x:f>
        <x:v>5</x:v>
      </x:c>
      <x:c r="D11" s="46"/>
      <x:c r="E11" s="46"/>
      <x:c r="F11" s="46"/>
      <x:c r="G11" s="46"/>
      <x:c r="H11" s="46"/>
    </x:row>
    <x:row r="12">
      <x:c r="A12" s="32" t="str">
        <x:v>Long-horizon method papers</x:v>
      </x:c>
      <x:c r="B12" s="38" t="n">
        <x:f>COUNTIFS(Annotations!$I:$I,"Method",Annotations!$P:$P,"Yes")</x:f>
        <x:v>5</x:v>
      </x:c>
      <x:c r="D12" s="46"/>
      <x:c r="E12" s="46"/>
      <x:c r="F12" s="46"/>
      <x:c r="G12" s="46"/>
      <x:c r="H12" s="46"/>
    </x:row>
    <x:row r="13">
      <x:c r="A13" s="32" t="str">
        <x:v>Long-horizon benchmark papers</x:v>
      </x:c>
      <x:c r="B13" s="38" t="n">
        <x:f>COUNTIFS(Annotations!$I:$I,"Benchmark",Annotations!$P:$P,"Yes")</x:f>
        <x:v>0</x:v>
      </x:c>
    </x:row>
    <x:row r="14">
      <x:c r="A14" s="32" t="str">
        <x:v>Method papers with real-robot evaluation</x:v>
      </x:c>
      <x:c r="B14" s="38" t="n">
        <x:f>COUNTIFS(Annotations!$I:$I,"Method",Annotations!$AQ:$AQ,"Yes")</x:f>
        <x:v>4</x:v>
      </x:c>
    </x:row>
    <x:row r="15">
      <x:c r="A15" s="32" t="str">
        <x:v>High-confidence rows</x:v>
      </x:c>
      <x:c r="B15" s="38" t="n">
        <x:f>COUNTIF(Annotations!$AY:$AY,"High")</x:f>
        <x:v>5</x:v>
      </x:c>
    </x:row>
    <x:row r="18">
      <x:c r="A18" s="42" t="str">
        <x:v>Year</x:v>
      </x:c>
      <x:c r="B18" s="42" t="str">
        <x:v>Methods</x:v>
      </x:c>
      <x:c r="C18" s="42" t="str">
        <x:v>Surveys</x:v>
      </x:c>
      <x:c r="D18" s="42" t="str">
        <x:v>Benchmarks</x:v>
      </x:c>
      <x:c r="E18" s="42" t="str">
        <x:v>Datasets</x:v>
      </x:c>
    </x:row>
    <x:row r="19">
      <x:c r="A19" s="51" t="n">
        <x:v>2024</x:v>
      </x:c>
      <x:c r="B19" s="51" t="n">
        <x:f>COUNTIFS(Annotations!$E:$E,A19,Annotations!$I:$I,"Method")</x:f>
        <x:v>1</x:v>
      </x:c>
      <x:c r="C19" s="51" t="n">
        <x:f>COUNTIFS(Annotations!$E:$E,A19,Annotations!$I:$I,"Survey")</x:f>
        <x:v>0</x:v>
      </x:c>
      <x:c r="D19" s="51" t="n">
        <x:f>COUNTIFS(Annotations!$E:$E,A19,Annotations!$I:$I,"Benchmark")</x:f>
        <x:v>0</x:v>
      </x:c>
      <x:c r="E19" s="51" t="n">
        <x:f>COUNTIFS(Annotations!$E:$E,A19,Annotations!$I:$I,"Dataset")</x:f>
        <x:v>0</x:v>
      </x:c>
    </x:row>
    <x:row r="20">
      <x:c r="A20" s="51" t="n">
        <x:v>2025</x:v>
      </x:c>
      <x:c r="B20" s="51" t="n">
        <x:f>COUNTIFS(Annotations!$E:$E,A20,Annotations!$I:$I,"Method")</x:f>
        <x:v>1</x:v>
      </x:c>
      <x:c r="C20" s="51" t="n">
        <x:f>COUNTIFS(Annotations!$E:$E,A20,Annotations!$I:$I,"Survey")</x:f>
        <x:v>0</x:v>
      </x:c>
      <x:c r="D20" s="51" t="n">
        <x:f>COUNTIFS(Annotations!$E:$E,A20,Annotations!$I:$I,"Benchmark")</x:f>
        <x:v>0</x:v>
      </x:c>
      <x:c r="E20" s="51" t="n">
        <x:f>COUNTIFS(Annotations!$E:$E,A20,Annotations!$I:$I,"Dataset")</x:f>
        <x:v>0</x:v>
      </x:c>
    </x:row>
    <x:row r="21">
      <x:c r="A21" s="51" t="n">
        <x:v>2026</x:v>
      </x:c>
      <x:c r="B21" s="51" t="n">
        <x:f>COUNTIFS(Annotations!$E:$E,A21,Annotations!$I:$I,"Method")</x:f>
        <x:v>3</x:v>
      </x:c>
      <x:c r="C21" s="51" t="n">
        <x:f>COUNTIFS(Annotations!$E:$E,A21,Annotations!$I:$I,"Survey")</x:f>
        <x:v>0</x:v>
      </x:c>
      <x:c r="D21" s="51" t="n">
        <x:f>COUNTIFS(Annotations!$E:$E,A21,Annotations!$I:$I,"Benchmark")</x:f>
        <x:v>0</x:v>
      </x:c>
      <x:c r="E21" s="51" t="n">
        <x:f>COUNTIFS(Annotations!$E:$E,A21,Annotations!$I:$I,"Dataset")</x:f>
        <x:v>0</x:v>
      </x:c>
    </x:row>
    <x:row r="24">
      <x:c r="A24" s="42" t="str">
        <x:v>World-model status</x:v>
      </x:c>
      <x:c r="B24" s="42" t="str">
        <x:v>Method count</x:v>
      </x:c>
      <x:c r="C24" s="42" t="str">
        <x:v>Interpretation</x:v>
      </x:c>
    </x:row>
    <x:row r="25">
      <x:c r="A25" s="13" t="str">
        <x:v>Yes</x:v>
      </x:c>
      <x:c r="B25" s="13" t="n">
        <x:f>COUNTIFS(Annotations!$I:$I,"Method",Annotations!$S:$S,A25)</x:f>
        <x:v>3</x:v>
      </x:c>
      <x:c r="C25" s="13" t="str">
        <x:v>Strict predictive environment model</x:v>
      </x:c>
    </x:row>
    <x:row r="26">
      <x:c r="A26" s="13" t="str">
        <x:v>Ambiguous</x:v>
      </x:c>
      <x:c r="B26" s="13" t="n">
        <x:f>COUNTIFS(Annotations!$I:$I,"Method",Annotations!$S:$S,A26)</x:f>
        <x:v>0</x:v>
      </x:c>
      <x:c r="C26" s="13" t="str">
        <x:v>World-model terminology without explicit environment prediction</x:v>
      </x:c>
    </x:row>
    <x:row r="27">
      <x:c r="A27" s="13" t="str">
        <x:v>No</x:v>
      </x:c>
      <x:c r="B27" s="13" t="n">
        <x:f>COUNTIFS(Annotations!$I:$I,"Method",Annotations!$S:$S,A27)</x:f>
        <x:v>2</x:v>
      </x:c>
      <x:c r="C27" s="13" t="str">
        <x:v>No learned downstream predictive environment model</x:v>
      </x:c>
    </x:row>
  </x:sheetData>
  <x:mergeCells>
    <x:mergeCell ref="A1:I2"/>
    <x:mergeCell ref="D4:H4"/>
    <x:mergeCell ref="D5:H12"/>
  </x:mergeCells>
  <x:pageMargins left="0.7" right="0.7" top="0.75" bottom="0.75" header="0.3" footer="0.3"/>
  <x:drawing xmlns:r="http://schemas.openxmlformats.org/officeDocument/2006/relationships" r:id="Rf5a1774ba19c4019"/>
</x:worksheet>
</file>

<file path=xl/worksheets/sheet2.xml><?xml version="1.0" encoding="utf-8"?>
<x:worksheet xmlns:x="http://schemas.openxmlformats.org/spreadsheetml/2006/main">
  <x:sheetFormatPr defaultRowHeight="15"/>
  <x:cols>
    <x:col min="1" max="1" width="18" hidden="0" customWidth="1"/>
    <x:col min="2" max="2" width="18" hidden="0" customWidth="1"/>
    <x:col min="3" max="3" width="34" hidden="0" customWidth="1"/>
    <x:col min="4" max="4" width="28" hidden="0" customWidth="1"/>
    <x:col min="5" max="5" width="18" hidden="0" customWidth="1"/>
    <x:col min="6" max="6" width="2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34"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34"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34" hidden="0" customWidth="1"/>
    <x:col min="31" max="31" width="18" hidden="0" customWidth="1"/>
    <x:col min="32" max="32" width="18" hidden="0" customWidth="1"/>
    <x:col min="33" max="33" width="18" hidden="0" customWidth="1"/>
    <x:col min="34" max="34" width="18" hidden="0" customWidth="1"/>
    <x:col min="35" max="35" width="18" hidden="0" customWidth="1"/>
    <x:col min="36" max="36" width="18" hidden="0" customWidth="1"/>
    <x:col min="37" max="37" width="28" hidden="0" customWidth="1"/>
    <x:col min="38" max="38" width="28" hidden="0" customWidth="1"/>
    <x:col min="39" max="39" width="18" hidden="0" customWidth="1"/>
    <x:col min="40" max="40" width="28" hidden="0" customWidth="1"/>
    <x:col min="41" max="41" width="28" hidden="0" customWidth="1"/>
    <x:col min="42" max="42" width="18" hidden="0" customWidth="1"/>
    <x:col min="43" max="43" width="18" hidden="0" customWidth="1"/>
    <x:col min="44" max="44" width="34" hidden="0" customWidth="1"/>
    <x:col min="45" max="45" width="34" hidden="0" customWidth="1"/>
    <x:col min="46" max="46" width="34" hidden="0" customWidth="1"/>
    <x:col min="47" max="47" width="34" hidden="0" customWidth="1"/>
    <x:col min="48" max="48" width="34" hidden="0" customWidth="1"/>
    <x:col min="49" max="49" width="34" hidden="0" customWidth="1"/>
    <x:col min="50" max="50" width="34" hidden="0" customWidth="1"/>
    <x:col min="51" max="51" width="18" hidden="0" customWidth="1"/>
    <x:col min="52" max="52" width="34" hidden="0" customWidth="1"/>
    <x:col min="53" max="53" width="28" hidden="0" customWidth="1"/>
  </x:cols>
  <x:sheetData>
    <x:row r="1">
      <x:c r="A1" s="6" t="str">
        <x:v>batch_id</x:v>
      </x:c>
      <x:c r="B1" s="6" t="str">
        <x:v>paper_id</x:v>
      </x:c>
      <x:c r="C1" s="6" t="str">
        <x:v>title</x:v>
      </x:c>
      <x:c r="D1" s="6" t="str">
        <x:v>authors</x:v>
      </x:c>
      <x:c r="E1" s="6" t="str">
        <x:v>year</x:v>
      </x:c>
      <x:c r="F1" s="6" t="str">
        <x:v>year_basis</x:v>
      </x:c>
      <x:c r="G1" s="6" t="str">
        <x:v>venue</x:v>
      </x:c>
      <x:c r="H1" s="6" t="str">
        <x:v>publication_status</x:v>
      </x:c>
      <x:c r="I1" s="6" t="str">
        <x:v>paper_type</x:v>
      </x:c>
      <x:c r="J1" s="6" t="str">
        <x:v>citation_count</x:v>
      </x:c>
      <x:c r="K1" s="6" t="str">
        <x:v>doi_or_identifier</x:v>
      </x:c>
      <x:c r="L1" s="6" t="str">
        <x:v>open_source</x:v>
      </x:c>
      <x:c r="M1" s="6" t="str">
        <x:v>open_source_notes</x:v>
      </x:c>
      <x:c r="N1" s="6" t="str">
        <x:v>task_domain</x:v>
      </x:c>
      <x:c r="O1" s="6" t="str">
        <x:v>primary_problem</x:v>
      </x:c>
      <x:c r="P1" s="6" t="str">
        <x:v>long_horizon</x:v>
      </x:c>
      <x:c r="Q1" s="6" t="str">
        <x:v>language_conditioned</x:v>
      </x:c>
      <x:c r="R1" s="6" t="str">
        <x:v>human_robot_interaction</x:v>
      </x:c>
      <x:c r="S1" s="6" t="str">
        <x:v>uses_world_model</x:v>
      </x:c>
      <x:c r="T1" s="6" t="str">
        <x:v>world_model_family</x:v>
      </x:c>
      <x:c r="U1" s="6" t="str">
        <x:v>world_model_detail</x:v>
      </x:c>
      <x:c r="V1" s="6" t="str">
        <x:v>predictive_space</x:v>
      </x:c>
      <x:c r="W1" s="6" t="str">
        <x:v>prediction_target</x:v>
      </x:c>
      <x:c r="X1" s="6" t="str">
        <x:v>action_conditioned</x:v>
      </x:c>
      <x:c r="Y1" s="6" t="str">
        <x:v>video_prediction</x:v>
      </x:c>
      <x:c r="Z1" s="6" t="str">
        <x:v>uses_planning</x:v>
      </x:c>
      <x:c r="AA1" s="6" t="str">
        <x:v>planning_method</x:v>
      </x:c>
      <x:c r="AB1" s="6" t="str">
        <x:v>planning_representation</x:v>
      </x:c>
      <x:c r="AC1" s="6" t="str">
        <x:v>planning_horizon</x:v>
      </x:c>
      <x:c r="AD1" s="6" t="str">
        <x:v>horizon_basis</x:v>
      </x:c>
      <x:c r="AE1" s="6" t="str">
        <x:v>hierarchical_planning</x:v>
      </x:c>
      <x:c r="AF1" s="6" t="str">
        <x:v>replanning_online</x:v>
      </x:c>
      <x:c r="AG1" s="6" t="str">
        <x:v>planning_role</x:v>
      </x:c>
      <x:c r="AH1" s="6" t="str">
        <x:v>learning_type</x:v>
      </x:c>
      <x:c r="AI1" s="6" t="str">
        <x:v>policy_type</x:v>
      </x:c>
      <x:c r="AJ1" s="6" t="str">
        <x:v>pretraining</x:v>
      </x:c>
      <x:c r="AK1" s="6" t="str">
        <x:v>observation_modality</x:v>
      </x:c>
      <x:c r="AL1" s="6" t="str">
        <x:v>goal_representation</x:v>
      </x:c>
      <x:c r="AM1" s="6" t="str">
        <x:v>action_space</x:v>
      </x:c>
      <x:c r="AN1" s="6" t="str">
        <x:v>benchmark</x:v>
      </x:c>
      <x:c r="AO1" s="6" t="str">
        <x:v>robot_platform</x:v>
      </x:c>
      <x:c r="AP1" s="6" t="str">
        <x:v>simulation</x:v>
      </x:c>
      <x:c r="AQ1" s="6" t="str">
        <x:v>real_robot</x:v>
      </x:c>
      <x:c r="AR1" s="6" t="str">
        <x:v>main_contribution</x:v>
      </x:c>
      <x:c r="AS1" s="6" t="str">
        <x:v>novelty</x:v>
      </x:c>
      <x:c r="AT1" s="6" t="str">
        <x:v>limitations</x:v>
      </x:c>
      <x:c r="AU1" s="6" t="str">
        <x:v>future_work</x:v>
      </x:c>
      <x:c r="AV1" s="6" t="str">
        <x:v>evidence_world_model</x:v>
      </x:c>
      <x:c r="AW1" s="6" t="str">
        <x:v>evidence_planning</x:v>
      </x:c>
      <x:c r="AX1" s="6" t="str">
        <x:v>evidence_horizon</x:v>
      </x:c>
      <x:c r="AY1" s="6" t="str">
        <x:v>confidence</x:v>
      </x:c>
      <x:c r="AZ1" s="6" t="str">
        <x:v>review_flags</x:v>
      </x:c>
      <x:c r="BA1" s="6" t="str">
        <x:v>source_document</x:v>
      </x:c>
    </x:row>
    <x:row r="2">
      <x:c r="A2" s="13" t="str">
        <x:v>batch_14</x:v>
      </x:c>
      <x:c r="B2" s="13" t="str">
        <x:v>B14-001</x:v>
      </x:c>
      <x:c r="C2" s="13" t="str">
        <x:v>H-WM: Robotic Task and Motion Planning Guided by Hierarchical World Model</x:v>
      </x:c>
      <x:c r="D2" s="13" t="str">
        <x:v>Jinbang Huang; Wenyuan Chen; Zhiyuan Li; Oscar Pang; Xiao Hu; Lingfeng Zhang; Yuanzhao Hu; Zhanguang Zhang; Mark Coates; Tongtong Cao; Xingyue Quan; Yingxue Zhang</x:v>
      </x:c>
      <x:c r="E2" s="13" t="n">
        <x:v>2026</x:v>
      </x:c>
      <x:c r="F2" s="13" t="str">
        <x:v>First public appearance: arXiv:2602.11291 in Feb 2026; supplied web version v2 dated 4 Mar 2026</x:v>
      </x:c>
      <x:c r="G2" s="13" t="str">
        <x:v>arXiv</x:v>
      </x:c>
      <x:c r="H2" s="13" t="str">
        <x:v>Preprint</x:v>
      </x:c>
      <x:c r="I2" s="13" t="str">
        <x:v>Method</x:v>
      </x:c>
      <x:c r="J2" s="13" t="str"/>
      <x:c r="K2" s="13" t="str">
        <x:v>arXiv:2602.11291</x:v>
      </x:c>
      <x:c r="L2" s="13" t="str">
        <x:v>Unknown</x:v>
      </x:c>
      <x:c r="M2" s="13" t="str">
        <x:v>No public implementation repository was identified on the paper page.</x:v>
      </x:c>
      <x:c r="N2" s="13" t="str">
        <x:v>Long-Horizon Manipulation; Task and Motion Planning; Vision-Language-Action Control</x:v>
      </x:c>
      <x:c r="O2" s="13" t="str">
        <x:v>Hierarchical World Modeling; Symbolic Planning; Visual Subgoal Prediction</x:v>
      </x:c>
      <x:c r="P2" s="13" t="str">
        <x:v>Yes</x:v>
      </x:c>
      <x:c r="Q2" s="13" t="str">
        <x:v>Yes</x:v>
      </x:c>
      <x:c r="R2" s="13" t="str">
        <x:v>No</x:v>
      </x:c>
      <x:c r="S2" s="13" t="str">
        <x:v>Yes</x:v>
      </x:c>
      <x:c r="T2" s="13" t="str">
        <x:v>Hybrid</x:v>
      </x:c>
      <x:c r="U2" s="13" t="str">
        <x:v>A fine-tuned LLM predicts structured logical actions and state transitions, while a latent visual world model predicts end-of-subtask visual goal features conditioned on the observation, joint state, logical action, and predicted logical state.</x:v>
      </x:c>
      <x:c r="V2" s="13" t="str">
        <x:v>Hybrid: symbolic logic and latent visual state</x:v>
      </x:c>
      <x:c r="W2" s="13" t="str">
        <x:v>Future logical actions and states; terminal visual subgoal embeddings</x:v>
      </x:c>
      <x:c r="X2" s="13" t="str">
        <x:v>Yes</x:v>
      </x:c>
      <x:c r="Y2" s="13" t="str">
        <x:v>No — predicts one latent visual subgoal per symbolic subtask</x:v>
      </x:c>
      <x:c r="Z2" s="13" t="str">
        <x:v>Yes</x:v>
      </x:c>
      <x:c r="AA2" s="13" t="str">
        <x:v>Hierarchical; Learned Symbolic Search; Language Planner</x:v>
      </x:c>
      <x:c r="AB2" s="13" t="str">
        <x:v>Logical state-action trajectories plus latent visual subgoals</x:v>
      </x:c>
      <x:c r="AC2" s="13" t="str">
        <x:v>Long</x:v>
      </x:c>
      <x:c r="AD2" s="13" t="str">
        <x:v>LIBERO-LoHo contains 5–7 logical steps, RoboCerebra reaches 20 steps, and the real-robot task contains eight steps.</x:v>
      </x:c>
      <x:c r="AE2" s="13" t="str">
        <x:v>Yes</x:v>
      </x:c>
      <x:c r="AF2" s="13" t="str">
        <x:v>Yes — logical actions and visual subgoals are generated at subtask boundaries and completion prediction advances the plan</x:v>
      </x:c>
      <x:c r="AG2" s="13" t="str">
        <x:v>High-Level Planner</x:v>
      </x:c>
      <x:c r="AH2" s="13" t="str">
        <x:v>LLM Fine-Tuning; Latent Visual Prediction; VLA Guidance</x:v>
      </x:c>
      <x:c r="AI2" s="13" t="str">
        <x:v>Hierarchically Guided VLA</x:v>
      </x:c>
      <x:c r="AJ2" s="13" t="str">
        <x:v>Yes — pretrained LLM, frozen visual encoder, and pretrained VLA policies</x:v>
      </x:c>
      <x:c r="AK2" s="13" t="str">
        <x:v>RGB; robot joint configuration; symbolic predicates; natural-language instruction</x:v>
      </x:c>
      <x:c r="AL2" s="13" t="str">
        <x:v>Logical goal state and predicted latent visual subgoals</x:v>
      </x:c>
      <x:c r="AM2" s="13" t="str">
        <x:v>Logical actions at the high level; continuous robot actions from the downstream VLA</x:v>
      </x:c>
      <x:c r="AN2" s="13" t="str">
        <x:v>LIBERO-10; LIBERO-LoHo; RoboCerebra; real eight-step table setup/cleaning task</x:v>
      </x:c>
      <x:c r="AO2" s="13" t="str">
        <x:v>Simulated LIBERO and RoboCerebra manipulators; UR5e with RealSense camera</x:v>
      </x:c>
      <x:c r="AP2" s="13" t="str">
        <x:v>Yes</x:v>
      </x:c>
      <x:c r="AQ2" s="13" t="str">
        <x:v>Yes</x:v>
      </x:c>
      <x:c r="AR2" s="13" t="str">
        <x:v>Jointly predicts symbolic and visual state transitions to provide synchronized bilevel guidance for VLA execution on extended manipulation tasks.</x:v>
      </x:c>
      <x:c r="AS2" s="13" t="str">
        <x:v>Combines a learned logical world model that proposes and scores state-action trajectories with a visually grounded latent subgoal model invoked once per subtask.</x:v>
      </x:c>
      <x:c r="AT2" s="13" t="str">
        <x:v>Requires logically synchronized annotations, predicate classifiers, and manual screening; symbolic abstractions and subtask boundaries remain task-engineered, and the system is evaluated on a limited real-world setup.</x:v>
      </x:c>
      <x:c r="AU2" s="13" t="str">
        <x:v>Reduce dependence on manually aligned symbolic annotations, improve open-world state estimation, and broaden real-world deployment and task diversity.</x:v>
      </x:c>
      <x:c r="AV2" s="13" t="str">
        <x:v>The logical module predicts structured state transitions and the visual module predicts the perceptual latent corresponding to the resulting symbolic state.</x:v>
      </x:c>
      <x:c r="AW2" s="13" t="str">
        <x:v>The logical world model proposes candidate logical actions and predicted transitions and scores partial trajectories for consistency and goal alignment.</x:v>
      </x:c>
      <x:c r="AX2" s="13" t="str">
        <x:v>The paper explicitly evaluates five- to twenty-step long-horizon tasks and an eight-step physical task.</x:v>
      </x:c>
      <x:c r="AY2" s="13" t="str">
        <x:v>High</x:v>
      </x:c>
      <x:c r="AZ2" s="13" t="str">
        <x:v>Closest overall match to the proposed research direction. It is hierarchical but sequence/subtask based rather than a recursive graph-of-graphs model.</x:v>
      </x:c>
      <x:c r="BA2" s="13" t="str">
        <x:v>https://arxiv.org/html/2602.11291</x:v>
      </x:c>
    </x:row>
    <x:row r="3">
      <x:c r="A3" s="13" t="str">
        <x:v>batch_14</x:v>
      </x:c>
      <x:c r="B3" s="13" t="str">
        <x:v>B14-002</x:v>
      </x:c>
      <x:c r="C3" s="13" t="str">
        <x:v>Semantic-Geometric-Physical-Driven Robot Manipulation Skill Transfer via Skill Library and Tactile Representation</x:v>
      </x:c>
      <x:c r="D3" s="13" t="str">
        <x:v>Mingchao Qi; Yuanjin Li; Xing Liu; Zhengxiong Liu; Panfeng Huang</x:v>
      </x:c>
      <x:c r="E3" s="13" t="n">
        <x:v>2024</x:v>
      </x:c>
      <x:c r="F3" s="13" t="str">
        <x:v>First public appearance: arXiv:2411.11714 on 18 Nov 2024</x:v>
      </x:c>
      <x:c r="G3" s="13" t="str">
        <x:v>arXiv</x:v>
      </x:c>
      <x:c r="H3" s="13" t="str">
        <x:v>Preprint</x:v>
      </x:c>
      <x:c r="I3" s="13" t="str">
        <x:v>Method</x:v>
      </x:c>
      <x:c r="J3" s="13" t="str"/>
      <x:c r="K3" s="13" t="str">
        <x:v>arXiv:2411.11714</x:v>
      </x:c>
      <x:c r="L3" s="13" t="str">
        <x:v>Yes</x:v>
      </x:c>
      <x:c r="M3" s="13" t="str">
        <x:v>Project code and prompts are released in the skill_transfer GitHub repository.</x:v>
      </x:c>
      <x:c r="N3" s="13" t="str">
        <x:v>Long-Horizon Manipulation; Skill Transfer; Contact-Rich Manipulation</x:v>
      </x:c>
      <x:c r="O3" s="13" t="str">
        <x:v>Knowledge-Graph Planning; Skill Transfer; Tactile Adaptation</x:v>
      </x:c>
      <x:c r="P3" s="13" t="str">
        <x:v>Yes</x:v>
      </x:c>
      <x:c r="Q3" s="13" t="str">
        <x:v>Yes</x:v>
      </x:c>
      <x:c r="R3" s="13" t="str">
        <x:v>No</x:v>
      </x:c>
      <x:c r="S3" s="13" t="str">
        <x:v>No</x:v>
      </x:c>
      <x:c r="T3" s="13" t="str">
        <x:v>None</x:v>
      </x:c>
      <x:c r="U3" s="13" t="str">
        <x:v>The framework represents task, scene, and state knowledge explicitly in Neo4j graphs but does not learn a predictive environment-transition model.</x:v>
      </x:c>
      <x:c r="V3" s="13" t="str">
        <x:v>N/A</x:v>
      </x:c>
      <x:c r="W3" s="13" t="str">
        <x:v>N/A</x:v>
      </x:c>
      <x:c r="X3" s="13" t="str">
        <x:v>N/A</x:v>
      </x:c>
      <x:c r="Y3" s="13" t="str">
        <x:v>No</x:v>
      </x:c>
      <x:c r="Z3" s="13" t="str">
        <x:v>Yes</x:v>
      </x:c>
      <x:c r="AA3" s="13" t="str">
        <x:v>Hierarchical Language Planner; A*; Knowledge-Graph Retrieval</x:v>
      </x:c>
      <x:c r="AB3" s="13" t="str">
        <x:v>Task graph, scene graph, state graph, and executable action-primitive sequences</x:v>
      </x:c>
      <x:c r="AC3" s="13" t="str">
        <x:v>Long</x:v>
      </x:c>
      <x:c r="AD3" s="13" t="str">
        <x:v>Long-horizon tasks are decomposed into subtasks, each containing sequential low-level action primitives.</x:v>
      </x:c>
      <x:c r="AE3" s="13" t="str">
        <x:v>Yes</x:v>
      </x:c>
      <x:c r="AF3" s="13" t="str">
        <x:v>Qualified — the transferred task and trajectories are adapted to the new scene, but continuous global replanning is not the paper's focus</x:v>
      </x:c>
      <x:c r="AG3" s="13" t="str">
        <x:v>Full End-to-End Planner</x:v>
      </x:c>
      <x:c r="AH3" s="13" t="str">
        <x:v>In-Context LLM Reasoning; Knowledge-Graph Skill Transfer; Tactile Geometry Processing</x:v>
      </x:c>
      <x:c r="AI3" s="13" t="str">
        <x:v>Skill Library with Motion Planner and Tactile Correction</x:v>
      </x:c>
      <x:c r="AJ3" s="13" t="str">
        <x:v>Yes — GPT-4o provides task-level reasoning</x:v>
      </x:c>
      <x:c r="AK3" s="13" t="str">
        <x:v>Scene-graph geometry; object pose; GelSight tactile images</x:v>
      </x:c>
      <x:c r="AL3" s="13" t="str">
        <x:v>Transferred subtask sequence and scene-conditioned geometric targets</x:v>
      </x:c>
      <x:c r="AM3" s="13" t="str">
        <x:v>Action primitives and Cartesian end-effector trajectories</x:v>
      </x:c>
      <x:c r="AN3" s="13" t="str">
        <x:v>Novel drawer-to-cabinet transfer involving door opening, cup retrieval, transport, and stacking</x:v>
      </x:c>
      <x:c r="AO3" s="13" t="str">
        <x:v>KUKA LBR iiwa14 with GelSight Mini</x:v>
      </x:c>
      <x:c r="AP3" s="13" t="str">
        <x:v>No</x:v>
      </x:c>
      <x:c r="AQ3" s="13" t="str">
        <x:v>Yes</x:v>
      </x:c>
      <x:c r="AR3" s="13" t="str">
        <x:v>Organizes reusable manipulation knowledge as linked task, scene, and state graphs and transfers it through semantic, geometric, and tactile levels.</x:v>
      </x:c>
      <x:c r="AS3" s="13" t="str">
        <x:v>Explicitly connects high-level subtasks to contained action primitives and uses a state graph to map task requirements to scene relations.</x:v>
      </x:c>
      <x:c r="AT3" s="13" t="str">
        <x:v>Cannot model deformable objects, and the 2D-pretrained LLM can generate inaccurate 3D motion paths; evaluation is limited to a narrow transfer scenario.</x:v>
      </x:c>
      <x:c r="AU3" s="13" t="str">
        <x:v>Introduce 3D inputs such as point clouds into model adaptation and extend the framework to deformable and more diverse contact-rich objects.</x:v>
      </x:c>
      <x:c r="AV3" s="13" t="str">
        <x:v>The graphs store task and scene knowledge but do not predict learned action-conditioned future environment states.</x:v>
      </x:c>
      <x:c r="AW3" s="13" t="str">
        <x:v>An LLM transfers the subtask sequence, A* adapts motion trajectories, and tactile estimates correct final contact pose.</x:v>
      </x:c>
      <x:c r="AX3" s="13" t="str">
        <x:v>The demonstrated transfer chains opening, grasping, pulling, releasing, retrieving, moving, and precise stacking.</x:v>
      </x:c>
      <x:c r="AY3" s="13" t="str">
        <x:v>High</x:v>
      </x:c>
      <x:c r="AZ3" s="13" t="str">
        <x:v>Very close structural precedent for a graph-of-graphs hierarchy, but it is a knowledge-graph skill system rather than a learned hierarchical world model.</x:v>
      </x:c>
      <x:c r="BA3" s="13" t="str">
        <x:v>https://arxiv.org/html/2411.11714v2</x:v>
      </x:c>
    </x:row>
    <x:row r="4">
      <x:c r="A4" s="13" t="str">
        <x:v>batch_14</x:v>
      </x:c>
      <x:c r="B4" s="13" t="str">
        <x:v>B14-003</x:v>
      </x:c>
      <x:c r="C4" s="13" t="str">
        <x:v>Semantic–Geometric Task Representations for Bimanual Manipulation from Human Demonstrations to Robot Action Planning</x:v>
      </x:c>
      <x:c r="D4" s="13" t="str">
        <x:v>Franziska Herbert; Vignesh Prasad; Han Liu; Dorothea Koert; Georgia Chalvatzaki</x:v>
      </x:c>
      <x:c r="E4" s="13" t="n">
        <x:v>2026</x:v>
      </x:c>
      <x:c r="F4" s="13" t="str">
        <x:v>First public appearance: arXiv:2601.11460 on 16 Jan 2026; supplied revision v2 dated 30 May 2026</x:v>
      </x:c>
      <x:c r="G4" s="13" t="str">
        <x:v>arXiv / submitted to IEEE Robotics and Automation Letters</x:v>
      </x:c>
      <x:c r="H4" s="13" t="str">
        <x:v>Preprint / submitted manuscript</x:v>
      </x:c>
      <x:c r="I4" s="13" t="str">
        <x:v>Method</x:v>
      </x:c>
      <x:c r="J4" s="13" t="str"/>
      <x:c r="K4" s="13" t="str">
        <x:v>arXiv:2601.11460</x:v>
      </x:c>
      <x:c r="L4" s="13" t="str">
        <x:v>Yes</x:v>
      </x:c>
      <x:c r="M4" s="13" t="str">
        <x:v>A public project website accompanies the paper.</x:v>
      </x:c>
      <x:c r="N4" s="13" t="str">
        <x:v>Bimanual Manipulation; Learning from Human Demonstrations; Task Graphs</x:v>
      </x:c>
      <x:c r="O4" s="13" t="str">
        <x:v>Graph World Modeling; Task Progression Forecasting; Online Action Planning</x:v>
      </x:c>
      <x:c r="P4" s="13" t="str">
        <x:v>Yes</x:v>
      </x:c>
      <x:c r="Q4" s="13" t="str">
        <x:v>No</x:v>
      </x:c>
      <x:c r="R4" s="13" t="str">
        <x:v>No</x:v>
      </x:c>
      <x:c r="S4" s="13" t="str">
        <x:v>Yes</x:v>
      </x:c>
      <x:c r="T4" s="13" t="str">
        <x:v>Object-Centric</x:v>
      </x:c>
      <x:c r="U4" s="13" t="str">
        <x:v>An MPNN encodes temporal object-centric scene graphs containing identities, semantic relations, motion histories, and task context; transformer decoders forecast future actions, involved objects, and continuous object motions.</x:v>
      </x:c>
      <x:c r="V4" s="13" t="str">
        <x:v>Hybrid symbolic and object-centric geometric state</x:v>
      </x:c>
      <x:c r="W4" s="13" t="str">
        <x:v>Future bimanual action sequence, target objects, and 3D object motions</x:v>
      </x:c>
      <x:c r="X4" s="13" t="str">
        <x:v>Yes — the decoder conditions on action context</x:v>
      </x:c>
      <x:c r="Y4" s="13" t="str">
        <x:v>No</x:v>
      </x:c>
      <x:c r="Z4" s="13" t="str">
        <x:v>Yes</x:v>
      </x:c>
      <x:c r="AA4" s="13" t="str">
        <x:v>Learned High-Level Planner; Motion-Primitive Scoring</x:v>
      </x:c>
      <x:c r="AB4" s="13" t="str">
        <x:v>Semantic–geometric temporal task graph and predicted ProMP consistency</x:v>
      </x:c>
      <x:c r="AC4" s="13" t="str">
        <x:v>Long</x:v>
      </x:c>
      <x:c r="AD4" s="13" t="str">
        <x:v>The learned decoder forecasts multi-step task progression across extended bimanual action sequences rather than a single action.</x:v>
      </x:c>
      <x:c r="AE4" s="13" t="str">
        <x:v>Yes — learned action-object selection guides parameterized low-level Probabilistic Movement Primitives</x:v>
      </x:c>
      <x:c r="AF4" s="13" t="str">
        <x:v>Yes — the graph and candidate action-object predictions are recomputed online between primitives</x:v>
      </x:c>
      <x:c r="AG4" s="13" t="str">
        <x:v>High-Level Planner</x:v>
      </x:c>
      <x:c r="AH4" s="13" t="str">
        <x:v>Human-Demonstration Pretraining; Graph Representation Learning; Decoder-Only Robot Finetuning</x:v>
      </x:c>
      <x:c r="AI4" s="13" t="str">
        <x:v>Online Planner with ProMP Skill Library</x:v>
      </x:c>
      <x:c r="AJ4" s="13" t="str">
        <x:v>Yes — representation learning from bimanual human demonstrations before small-data robot finetuning</x:v>
      </x:c>
      <x:c r="AK4" s="13" t="str">
        <x:v>Third-person RGB-D; tracked 3D object and hand positions; semantic relations; task ID</x:v>
      </x:c>
      <x:c r="AL4" s="13" t="str">
        <x:v>Task identity and predicted semantic–geometric progression</x:v>
      </x:c>
      <x:c r="AM4" s="13" t="str">
        <x:v>Bimanual categorical action primitives with parameterized ProMP trajectories</x:v>
      </x:c>
      <x:c r="AN4" s="13" t="str">
        <x:v>Eleven bimanual tasks from KIT Bimacs and an additional Bimacs-style dataset; real cooking and clear-up tasks</x:v>
      </x:c>
      <x:c r="AO4" s="13" t="str">
        <x:v>Physical bimanual tabletop robot with parameterized ProMP skill library</x:v>
      </x:c>
      <x:c r="AP4" s="13" t="str">
        <x:v>No</x:v>
      </x:c>
      <x:c r="AQ4" s="13" t="str">
        <x:v>Yes</x:v>
      </x:c>
      <x:c r="AR4" s="13" t="str">
        <x:v>Learns a reusable graph embedding that jointly captures task semantics and geometric evolution and transfers it from humans to online bimanual robot planning.</x:v>
      </x:c>
      <x:c r="AS4" s="13" t="str">
        <x:v>Separates task-agnostic graph encoding from action-conditioned forecasting, enabling decoder-only embodiment adaptation and joint prediction of symbolic and continuous futures.</x:v>
      </x:c>
      <x:c r="AT4" s="13" t="str">
        <x:v>Uses only 3D positions rather than 6D poses, requires tracked objects and heuristic relations, and needs small robot-specific finetuning; motion prediction currently serves only action scoring.</x:v>
      </x:c>
      <x:c r="AU4" s="13" t="str">
        <x:v>Add 6D object poses, use VLM perception to construct graph features, and connect the representation to VLA low-level policies.</x:v>
      </x:c>
      <x:c r="AV4" s="13" t="str">
        <x:v>The graph predictor forecasts future object motions and task actions from the current temporal relational state.</x:v>
      </x:c>
      <x:c r="AW4" s="13" t="str">
        <x:v>The online planner scores candidate skills using predicted action likelihood and consistency between predicted object motion and learned ProMPs.</x:v>
      </x:c>
      <x:c r="AX4" s="13" t="str">
        <x:v>The work explicitly targets long-horizon task progression and evaluates multi-step bimanual tasks with varying action ordering.</x:v>
      </x:c>
      <x:c r="AY4" s="13" t="str">
        <x:v>High</x:v>
      </x:c>
      <x:c r="AZ4" s="13" t="str">
        <x:v>Closest learned graph-embedding precedent. Unlike the proposed idea, it has one semantic-geometric level rather than recursively nested task, primitive, and trajectory graphs.</x:v>
      </x:c>
      <x:c r="BA4" s="13" t="str">
        <x:v>https://arxiv.org/html/2601.11460v2</x:v>
      </x:c>
    </x:row>
    <x:row r="5">
      <x:c r="A5" s="13" t="str">
        <x:v>batch_14</x:v>
      </x:c>
      <x:c r="B5" s="13" t="str">
        <x:v>B14-004</x:v>
      </x:c>
      <x:c r="C5" s="13" t="str">
        <x:v>From Reaction to Anticipation: Proactive Failure Recovery through Agentic Task Graph for Robotic Manipulation</x:v>
      </x:c>
      <x:c r="D5" s="13" t="str">
        <x:v>Sheng Xu; Ruixing Jin; Huayi Zhou; Bo Yue; Guanren Qiao; Yueci Deng; Yunxin Tai; Kui Jia; Guiliang Liu</x:v>
      </x:c>
      <x:c r="E5" s="13" t="n">
        <x:v>2026</x:v>
      </x:c>
      <x:c r="F5" s="13" t="str">
        <x:v>First public appearance: arXiv:2605.11951 on 12 May 2026; accepted to RSS 2026</x:v>
      </x:c>
      <x:c r="G5" s="13" t="str">
        <x:v>Robotics: Science and Systems (RSS)</x:v>
      </x:c>
      <x:c r="H5" s="13" t="str">
        <x:v>Peer-reviewed conference article / arXiv preprint</x:v>
      </x:c>
      <x:c r="I5" s="13" t="str">
        <x:v>Method</x:v>
      </x:c>
      <x:c r="J5" s="13" t="str"/>
      <x:c r="K5" s="13" t="str">
        <x:v>arXiv:2605.11951</x:v>
      </x:c>
      <x:c r="L5" s="13" t="str">
        <x:v>Yes</x:v>
      </x:c>
      <x:c r="M5" s="13" t="str">
        <x:v>Code, prompts, and examples are publicly released in the AgentChord repository.</x:v>
      </x:c>
      <x:c r="N5" s="13" t="str">
        <x:v>Long-Horizon Manipulation; Failure Recovery; Bimanual Manipulation</x:v>
      </x:c>
      <x:c r="O5" s="13" t="str">
        <x:v>Task-Graph Planning; Proactive Failure Recovery; Execution Monitoring</x:v>
      </x:c>
      <x:c r="P5" s="13" t="str">
        <x:v>Yes</x:v>
      </x:c>
      <x:c r="Q5" s="13" t="str">
        <x:v>Yes</x:v>
      </x:c>
      <x:c r="R5" s="13" t="str">
        <x:v>No</x:v>
      </x:c>
      <x:c r="S5" s="13" t="str">
        <x:v>No</x:v>
      </x:c>
      <x:c r="T5" s="13" t="str">
        <x:v>None</x:v>
      </x:c>
      <x:c r="U5" s="13" t="str">
        <x:v>The system builds a semantic task graph and recovery branches but does not learn a predictive environment-transition model.</x:v>
      </x:c>
      <x:c r="V5" s="13" t="str">
        <x:v>N/A</x:v>
      </x:c>
      <x:c r="W5" s="13" t="str">
        <x:v>N/A</x:v>
      </x:c>
      <x:c r="X5" s="13" t="str">
        <x:v>N/A</x:v>
      </x:c>
      <x:c r="Y5" s="13" t="str">
        <x:v>No</x:v>
      </x:c>
      <x:c r="Z5" s="13" t="str">
        <x:v>Yes</x:v>
      </x:c>
      <x:c r="AA5" s="13" t="str">
        <x:v>Agentic Task Graph; Hierarchical Constrained Solvers; Recovery Planning</x:v>
      </x:c>
      <x:c r="AB5" s="13" t="str">
        <x:v>Directed nominal graph augmented with failure contexts, recovery nodes, merge points, and monitored transitions</x:v>
      </x:c>
      <x:c r="AC5" s="13" t="str">
        <x:v>Long</x:v>
      </x:c>
      <x:c r="AD5" s="13" t="str">
        <x:v>The graph represents complete single-arm and bimanual tasks with multiple subgoals and forward-moving recovery branches.</x:v>
      </x:c>
      <x:c r="AE5" s="13" t="str">
        <x:v>Yes</x:v>
      </x:c>
      <x:c r="AF5" s="13" t="str">
        <x:v>Yes — monitors trigger precompiled recovery branches and rejoin the nominal graph without invoking a new MLLM plan</x:v>
      </x:c>
      <x:c r="AG5" s="13" t="str">
        <x:v>Full End-to-End Planner</x:v>
      </x:c>
      <x:c r="AH5" s="13" t="str">
        <x:v>MLLM Agentic Reasoning; Compiled Geometric Monitoring; Constraint-Based Execution</x:v>
      </x:c>
      <x:c r="AI5" s="13" t="str">
        <x:v>Graph-Compiled Atomic-Action System</x:v>
      </x:c>
      <x:c r="AJ5" s="13" t="str">
        <x:v>Yes — pretrained multimodal language models provide graph construction and failure anticipation</x:v>
      </x:c>
      <x:c r="AK5" s="13" t="str">
        <x:v>Natural language; multi-view RGB-D; geometric scene features</x:v>
      </x:c>
      <x:c r="AL5" s="13" t="str">
        <x:v>Semantic subgoal graph with nominal and recovery constraints</x:v>
      </x:c>
      <x:c r="AM5" s="13" t="str">
        <x:v>Atomic robot actions compiled into single- and dual-arm trajectories</x:v>
      </x:c>
      <x:c r="AN5" s="13" t="str">
        <x:v>Simulation tasks and six real tasks: single/dual-arm pouring, table rearrangement, block handover, towel folding, and coffee-tray setup</x:v>
      </x:c>
      <x:c r="AO5" s="13" t="str">
        <x:v>AgileX CobotMagic dual-arm robot with two binocular RGB-D cameras</x:v>
      </x:c>
      <x:c r="AP5" s="13" t="str">
        <x:v>Yes</x:v>
      </x:c>
      <x:c r="AQ5" s="13" t="str">
        <x:v>Yes</x:v>
      </x:c>
      <x:c r="AR5" s="13" t="str">
        <x:v>Augments a nominal manipulation graph before execution with anticipated, context-specific, forward-moving recovery branches and low-latency monitors.</x:v>
      </x:c>
      <x:c r="AS5" s="13" t="str">
        <x:v>Moves failure reasoning offline into graph construction so execution can immediately branch to a corrective route rather than repeatedly invoking an MLLM or backtracking.</x:v>
      </x:c>
      <x:c r="AT5" s="13" t="str">
        <x:v>Rare or compound failures may be missed, reasoning errors can attach recovery to the wrong node, IK may make proposed recoveries infeasible, and geometric monitoring is weak for irregular, deformable, or transparent objects.</x:v>
      </x:c>
      <x:c r="AU5" s="13" t="str">
        <x:v>Add fallback reasoning for unforeseen failures and stronger semantic-geometric, point-cloud, and relational-keypoint feature extractors.</x:v>
      </x:c>
      <x:c r="AV5" s="13" t="str">
        <x:v>AgentChord predicts likely failure modes conceptually but does not learn state-transition dynamics or future environment observations.</x:v>
      </x:c>
      <x:c r="AW5" s="13" t="str">
        <x:v>Composer, arranger, and conductor agents construct, augment, compile, monitor, and execute the directed task and recovery graph.</x:v>
      </x:c>
      <x:c r="AX5" s="13" t="str">
        <x:v>Six long-horizon real tasks are evaluated under randomized external disturbances, including asynchronous and synchronous bimanual coordination.</x:v>
      </x:c>
      <x:c r="AY5" s="13" t="str">
        <x:v>High</x:v>
      </x:c>
      <x:c r="AZ5" s="13" t="str">
        <x:v>Highly relevant to adding contingency and recovery branches to the proposed task graph, but not itself a world model.</x:v>
      </x:c>
      <x:c r="BA5" s="13" t="str">
        <x:v>https://arxiv.org/html/2605.11951v1</x:v>
      </x:c>
    </x:row>
    <x:row r="6">
      <x:c r="A6" s="13" t="str">
        <x:v>batch_14</x:v>
      </x:c>
      <x:c r="B6" s="13" t="str">
        <x:v>B14-005</x:v>
      </x:c>
      <x:c r="C6" s="13" t="str">
        <x:v>RoboHorizon: An LLM-Assisted Multi-View World Model for Long-Horizon Robotic Manipulation</x:v>
      </x:c>
      <x:c r="D6" s="13" t="str">
        <x:v>Zixuan Chen; Jing Huo; Yangtao Chen; Yang Gao</x:v>
      </x:c>
      <x:c r="E6" s="13" t="n">
        <x:v>2025</x:v>
      </x:c>
      <x:c r="F6" s="13" t="str">
        <x:v>First public appearance: arXiv:2501.06605 in Jan 2025; supplied web version v3</x:v>
      </x:c>
      <x:c r="G6" s="13" t="str">
        <x:v>arXiv</x:v>
      </x:c>
      <x:c r="H6" s="13" t="str">
        <x:v>Preprint</x:v>
      </x:c>
      <x:c r="I6" s="13" t="str">
        <x:v>Method</x:v>
      </x:c>
      <x:c r="J6" s="13" t="str"/>
      <x:c r="K6" s="13" t="str">
        <x:v>arXiv:2501.06605</x:v>
      </x:c>
      <x:c r="L6" s="13" t="str">
        <x:v>Unknown</x:v>
      </x:c>
      <x:c r="M6" s="13" t="str">
        <x:v>No public implementation repository was identified on the paper page.</x:v>
      </x:c>
      <x:c r="N6" s="13" t="str">
        <x:v>Long-Horizon Manipulation; Model-Based Reinforcement Learning</x:v>
      </x:c>
      <x:c r="O6" s="13" t="str">
        <x:v>World Modeling; LLM Reward Generation; Multi-View Representation Learning; Policy Learning</x:v>
      </x:c>
      <x:c r="P6" s="13" t="str">
        <x:v>Yes</x:v>
      </x:c>
      <x:c r="Q6" s="13" t="str">
        <x:v>Yes</x:v>
      </x:c>
      <x:c r="R6" s="13" t="str">
        <x:v>No</x:v>
      </x:c>
      <x:c r="S6" s="13" t="str">
        <x:v>Yes</x:v>
      </x:c>
      <x:c r="T6" s="13" t="str">
        <x:v>RSSM</x:v>
      </x:c>
      <x:c r="U6" s="13" t="str">
        <x:v>An RSSM consumes frozen key-horizon multi-view MAE features, previous latent state, and action to predict future latent states, reconstructed observations, and LLM-generated staged rewards.</x:v>
      </x:c>
      <x:c r="V6" s="13" t="str">
        <x:v>Latent / Observation</x:v>
      </x:c>
      <x:c r="W6" s="13" t="str">
        <x:v>Future latent states, reconstructed key-horizon visual features, and dense rewards</x:v>
      </x:c>
      <x:c r="X6" s="13" t="str">
        <x:v>Yes</x:v>
      </x:c>
      <x:c r="Y6" s="13" t="str">
        <x:v>No — reconstructs key-horizon visual representations rather than generating full videos</x:v>
      </x:c>
      <x:c r="Z6" s="13" t="str">
        <x:v>Yes</x:v>
      </x:c>
      <x:c r="AA6" s="13" t="str">
        <x:v>Model-Based Reinforcement Learning; Actor-Critic Imagination</x:v>
      </x:c>
      <x:c r="AB6" s="13" t="str">
        <x:v>RSSM imagined trajectories with stage-aware rewards and values</x:v>
      </x:c>
      <x:c r="AC6" s="13" t="str">
        <x:v>Long</x:v>
      </x:c>
      <x:c r="AD6" s="13" t="str">
        <x:v>The actor's imagination horizon is matched to variable-length key horizons for sequential long-horizon subtasks and furniture assembly.</x:v>
      </x:c>
      <x:c r="AE6" s="13" t="str">
        <x:v>Yes — LLM-generated staged task rewards organize lower-level imagined policy optimization</x:v>
      </x:c>
      <x:c r="AF6" s="13" t="str">
        <x:v>Yes — the learned actor acts from current observations while the RSSM provides imagined future values during training</x:v>
      </x:c>
      <x:c r="AG6" s="13" t="str">
        <x:v>Full End-to-End Planner</x:v>
      </x:c>
      <x:c r="AH6" s="13" t="str">
        <x:v>Multi-View Masked Autoencoding; RSSM Learning; Dreamer-Style Actor-Critic; Behavior Cloning</x:v>
      </x:c>
      <x:c r="AI6" s="13" t="str">
        <x:v>World-Model-Based Actor-Critic Policy</x:v>
      </x:c>
      <x:c r="AJ6" s="13" t="str">
        <x:v>Yes — multi-view representation learning and LLM-generated reward coding precede policy optimization</x:v>
      </x:c>
      <x:c r="AK6" s="13" t="str">
        <x:v>Multi-view RGB during training; front-view RGB for policy execution; natural-language task description</x:v>
      </x:c>
      <x:c r="AL6" s="13" t="str">
        <x:v>LLM-generated multi-stage dense and intermediate rewards</x:v>
      </x:c>
      <x:c r="AM6" s="13" t="str">
        <x:v>Continuous relative gripper pose changes</x:v>
      </x:c>
      <x:c r="AN6" s="13" t="str">
        <x:v>Four short and six long RLBench tasks plus FurnitureBench cabinet, lamp, and round-table assembly</x:v>
      </x:c>
      <x:c r="AO6" s="13" t="str">
        <x:v>Simulated Franka Panda environments in RLBench and FurnitureBench</x:v>
      </x:c>
      <x:c r="AP6" s="13" t="str">
        <x:v>Yes</x:v>
      </x:c>
      <x:c r="AQ6" s="13" t="str">
        <x:v>No</x:v>
      </x:c>
      <x:c r="AR6" s="13" t="str">
        <x:v>Combines LLM-generated stage-aware rewards, key-horizon multi-view perception, and an RSSM actor-critic to improve long-horizon manipulation learning.</x:v>
      </x:c>
      <x:c r="AS6" s="13" t="str">
        <x:v>Extends Sense-Plan-Act into Recognize-Sense-Plan-Act, using language to define stage structure and keyframe-aware visual learning to improve long-horizon model-based RL.</x:v>
      </x:c>
      <x:c r="AT6" s="13" t="str">
        <x:v>The reward-generation loop lacks human feedback, all evaluation is simulated, and the system uses only RGB without proprioception or depth.</x:v>
      </x:c>
      <x:c r="AU6" s="13" t="str">
        <x:v>Close the LLM reward-generation loop with human feedback and deploy the framework on real long-horizon manipulation tasks.</x:v>
      </x:c>
      <x:c r="AV6" s="13" t="str">
        <x:v>The RSSM predicts future latent states from current representations, previous state, and action and learns observation reconstruction and reward prediction.</x:v>
      </x:c>
      <x:c r="AW6" s="13" t="str">
        <x:v>A DreamerV2-style actor and critic optimize predicted returns by backpropagating through imagined RSSM trajectories.</x:v>
      </x:c>
      <x:c r="AX6" s="13" t="str">
        <x:v>The paper evaluates six long-horizon RLBench tasks and three furniture-assembly tasks and adapts imagination duration to task-stage key horizons.</x:v>
      </x:c>
      <x:c r="AY6" s="13" t="str">
        <x:v>High</x:v>
      </x:c>
      <x:c r="AZ6" s="13" t="str">
        <x:v>Relevant LLM-plus-world-model long-horizon baseline, but its hierarchy enters through staged rewards and key horizons rather than explicit nested task graphs.</x:v>
      </x:c>
      <x:c r="BA6" s="13" t="str">
        <x:v>https://arxiv.org/html/2501.06605v3</x:v>
      </x:c>
    </x:row>
  </x:sheetData>
  <x:pageMargins left="0.7" right="0.7" top="0.75" bottom="0.75" header="0.3" footer="0.3"/>
  <x:tableParts count="1">
    <x:tablePart xmlns:r="http://schemas.openxmlformats.org/officeDocument/2006/relationships" r:id="R2ee0e28aa2e14fef"/>
  </x:tableParts>
</x:worksheet>
</file>

<file path=xl/worksheets/sheet3.xml><?xml version="1.0" encoding="utf-8"?>
<x:worksheet xmlns:x="http://schemas.openxmlformats.org/spreadsheetml/2006/main">
  <x:sheetFormatPr defaultRowHeight="15"/>
  <x:cols>
    <x:col min="1" max="1" width="25" hidden="0" customWidth="1"/>
    <x:col min="2" max="2" width="39" hidden="0" customWidth="1"/>
    <x:col min="3" max="3" width="52" hidden="0" customWidth="1"/>
    <x:col min="4" max="4" width="56" hidden="0" customWidth="1"/>
  </x:cols>
  <x:sheetData>
    <x:row r="1">
      <x:c r="A1" s="19" t="str">
        <x:v>Field</x:v>
      </x:c>
      <x:c r="B1" s="19" t="str">
        <x:v>Definition</x:v>
      </x:c>
      <x:c r="C1" s="19" t="str">
        <x:v>Allowed / normalized values</x:v>
      </x:c>
      <x:c r="D1" s="19" t="str">
        <x:v>Annotation rule</x:v>
      </x:c>
    </x:row>
    <x:row r="2">
      <x:c r="A2" s="13" t="str">
        <x:v>year</x:v>
      </x:c>
      <x:c r="B2" s="13" t="str">
        <x:v>First public appearance year</x:v>
      </x:c>
      <x:c r="C2" s="13" t="str">
        <x:v>Integer</x:v>
      </x:c>
      <x:c r="D2" s="13" t="str">
        <x:v>Keep later publication/revision dates in year_basis.</x:v>
      </x:c>
    </x:row>
    <x:row r="3">
      <x:c r="A3" s="13" t="str">
        <x:v>paper_type</x:v>
      </x:c>
      <x:c r="B3" s="13" t="str">
        <x:v>Nature of paper</x:v>
      </x:c>
      <x:c r="C3" s="13" t="str">
        <x:v>Method; Survey; Benchmark; Dataset</x:v>
      </x:c>
      <x:c r="D3" s="13" t="str">
        <x:v>Non-method rows are excluded from method KPIs.</x:v>
      </x:c>
    </x:row>
    <x:row r="4">
      <x:c r="A4" s="13" t="str">
        <x:v>long_horizon</x:v>
      </x:c>
      <x:c r="B4" s="13" t="str">
        <x:v>Whether the evaluated task is temporally extended</x:v>
      </x:c>
      <x:c r="C4" s="13" t="str">
        <x:v>Yes; No; No / Unclear; N/A</x:v>
      </x:c>
      <x:c r="D4" s="13" t="str">
        <x:v>Separate task horizon from controller or rollout horizon.</x:v>
      </x:c>
    </x:row>
    <x:row r="5">
      <x:c r="A5" s="13" t="str">
        <x:v>uses_world_model</x:v>
      </x:c>
      <x:c r="B5" s="13" t="str">
        <x:v>Whether the method predicts environment evolution</x:v>
      </x:c>
      <x:c r="C5" s="13" t="str">
        <x:v>Yes; No; Ambiguous; N/A</x:v>
      </x:c>
      <x:c r="D5" s="13" t="str">
        <x:v>Knowledge graphs alone are not learned world models.</x:v>
      </x:c>
    </x:row>
    <x:row r="6">
      <x:c r="A6" s="13" t="str">
        <x:v>uses_planning</x:v>
      </x:c>
      <x:c r="B6" s="13" t="str">
        <x:v>Whether behavior is searched, decomposed, or optimized</x:v>
      </x:c>
      <x:c r="C6" s="13" t="str">
        <x:v>Yes; No; N/A</x:v>
      </x:c>
      <x:c r="D6" s="13" t="str">
        <x:v>Structured task graphs and imagined actor optimization qualify.</x:v>
      </x:c>
    </x:row>
    <x:row r="7">
      <x:c r="A7" s="13" t="str">
        <x:v>planning_horizon</x:v>
      </x:c>
      <x:c r="B7" s="13" t="str">
        <x:v>Horizon of explicit planning</x:v>
      </x:c>
      <x:c r="C7" s="13" t="str">
        <x:v>None; Short; Medium; Long; N/A</x:v>
      </x:c>
      <x:c r="D7" s="13" t="str">
        <x:v>Task-level graph or symbolic planning is Long.</x:v>
      </x:c>
    </x:row>
    <x:row r="8">
      <x:c r="A8" s="13" t="str">
        <x:v>review_flags</x:v>
      </x:c>
      <x:c r="B8" s="13" t="str">
        <x:v>Interpretation notes</x:v>
      </x:c>
      <x:c r="C8" s="13" t="str">
        <x:v>Free text</x:v>
      </x:c>
      <x:c r="D8" s="13" t="str">
        <x:v>Highlights relevance and definition-sensitive cases.</x:v>
      </x:c>
    </x:row>
  </x:sheetData>
  <x:pageMargins left="0.7" right="0.7" top="0.75" bottom="0.75" header="0.3" footer="0.3"/>
  <x:tableParts count="1">
    <x:tablePart xmlns:r="http://schemas.openxmlformats.org/officeDocument/2006/relationships" r:id="R132d3582b66f4c27"/>
  </x:tableParts>
</x:worksheet>
</file>