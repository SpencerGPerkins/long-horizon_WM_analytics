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aef732b1c46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758d370c88843ae"/>
    <x:sheet xmlns:r="http://schemas.openxmlformats.org/officeDocument/2006/relationships" name="Annotations" sheetId="2" r:id="R234501221f104d29"/>
    <x:sheet xmlns:r="http://schemas.openxmlformats.org/officeDocument/2006/relationships" name="Taxonomy" sheetId="3" r:id="R0c2d2610bbf845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0" fontId="4" fillId="0" borderId="1" xfId="0" applyNumberFormat="1" applyFont="1" applyFill="1" applyBorder="1" applyAlignment="1">
      <x:alignment horizont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7ccf1676b4ac2" /><Relationship Type="http://schemas.openxmlformats.org/officeDocument/2006/relationships/theme" Target="/xl/theme/theme1.xml" Id="R7afc8c0e6b454ae5" /><Relationship Type="http://schemas.openxmlformats.org/officeDocument/2006/relationships/sharedStrings" Target="/xl/sharedStrings.xml" Id="R9f2921270aae4cab" /><Relationship Type="http://schemas.openxmlformats.org/officeDocument/2006/relationships/worksheet" Target="/xl/worksheets/sheet1.xml" Id="R8758d370c88843ae" /><Relationship Type="http://schemas.openxmlformats.org/officeDocument/2006/relationships/worksheet" Target="/xl/worksheets/sheet2.xml" Id="R234501221f104d29" /><Relationship Type="http://schemas.openxmlformats.org/officeDocument/2006/relationships/worksheet" Target="/xl/worksheets/sheet3.xml" Id="R0c2d2610bbf845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300daea7f14bb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Corpus by First-Publication Year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Methods</c:v>
          </c:tx>
          <c:cat>
            <c:strRef>
              <c:f>'Dashboard'!$A$19:$A$21</c:f>
              <c:strCache>
                <c:ptCount val="0"/>
              </c:strCache>
            </c:strRef>
          </c:cat>
          <c:val>
            <c:numRef>
              <c:f>'Dashboard'!$B$19:$B$21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Surveys</c:v>
          </c:tx>
          <c:cat>
            <c:strRef>
              <c:f>'Dashboard'!$A$19:$A$21</c:f>
              <c:strCache>
                <c:ptCount val="0"/>
              </c:strCache>
            </c:strRef>
          </c:cat>
          <c:val>
            <c:numRef>
              <c:f>'Dashboard'!$C$19:$C$21</c:f>
              <c:numCache>
                <c:formatCode>0</c:formatCode>
                <c:ptCount val="0"/>
              </c:numCache>
            </c:numRef>
          </c:val>
          <c:smooth val="0"/>
        </c:ser>
        <c:ser>
          <c:idx val="2"/>
          <c:order val="2"/>
          <c:tx>
            <c:v>Benchmarks</c:v>
          </c:tx>
          <c:cat>
            <c:strRef>
              <c:f>'Dashboard'!$A$19:$A$21</c:f>
              <c:strCache>
                <c:ptCount val="0"/>
              </c:strCache>
            </c:strRef>
          </c:cat>
          <c:val>
            <c:numRef>
              <c:f>'Dashboard'!$D$19:$D$21</c:f>
              <c:numCache>
                <c:formatCode>0</c:formatCode>
                <c:ptCount val="0"/>
              </c:numCache>
            </c:numRef>
          </c:val>
          <c:smooth val="0"/>
        </c:ser>
        <c:ser>
          <c:idx val="3"/>
          <c:order val="3"/>
          <c:tx>
            <c:v>Datasets</c:v>
          </c:tx>
          <c:cat>
            <c:strRef>
              <c:f>'Dashboard'!$A$19:$A$21</c:f>
              <c:strCache>
                <c:ptCount val="0"/>
              </c:strCache>
            </c:strRef>
          </c:cat>
          <c:val>
            <c:numRef>
              <c:f>'Dashboard'!$E$19:$E$21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16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300daea7f14bb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atch11Annotations" displayName="Batch11Annotations" ref="A1:BA6" headerRowCount="1">
  <x:tableColumns count="53">
    <x:tableColumn id="1" name="batch_id"/>
    <x:tableColumn id="2" name="paper_id"/>
    <x:tableColumn id="3" name="title"/>
    <x:tableColumn id="4" name="authors"/>
    <x:tableColumn id="5" name="year"/>
    <x:tableColumn id="6" name="year_basis"/>
    <x:tableColumn id="7" name="venue"/>
    <x:tableColumn id="8" name="publication_status"/>
    <x:tableColumn id="9" name="paper_type"/>
    <x:tableColumn id="10" name="citation_count"/>
    <x:tableColumn id="11" name="doi_or_identifier"/>
    <x:tableColumn id="12" name="open_source"/>
    <x:tableColumn id="13" name="open_source_notes"/>
    <x:tableColumn id="14" name="task_domain"/>
    <x:tableColumn id="15" name="primary_problem"/>
    <x:tableColumn id="16" name="long_horizon"/>
    <x:tableColumn id="17" name="language_conditioned"/>
    <x:tableColumn id="18" name="human_robot_interaction"/>
    <x:tableColumn id="19" name="uses_world_model"/>
    <x:tableColumn id="20" name="world_model_family"/>
    <x:tableColumn id="21" name="world_model_detail"/>
    <x:tableColumn id="22" name="predictive_space"/>
    <x:tableColumn id="23" name="prediction_target"/>
    <x:tableColumn id="24" name="action_conditioned"/>
    <x:tableColumn id="25" name="video_prediction"/>
    <x:tableColumn id="26" name="uses_planning"/>
    <x:tableColumn id="27" name="planning_method"/>
    <x:tableColumn id="28" name="planning_representation"/>
    <x:tableColumn id="29" name="planning_horizon"/>
    <x:tableColumn id="30" name="horizon_basis"/>
    <x:tableColumn id="31" name="hierarchical_planning"/>
    <x:tableColumn id="32" name="replanning_online"/>
    <x:tableColumn id="33" name="planning_role"/>
    <x:tableColumn id="34" name="learning_type"/>
    <x:tableColumn id="35" name="policy_type"/>
    <x:tableColumn id="36" name="pretraining"/>
    <x:tableColumn id="37" name="observation_modality"/>
    <x:tableColumn id="38" name="goal_representation"/>
    <x:tableColumn id="39" name="action_space"/>
    <x:tableColumn id="40" name="benchmark"/>
    <x:tableColumn id="41" name="robot_platform"/>
    <x:tableColumn id="42" name="simulation"/>
    <x:tableColumn id="43" name="real_robot"/>
    <x:tableColumn id="44" name="main_contribution"/>
    <x:tableColumn id="45" name="novelty"/>
    <x:tableColumn id="46" name="limitations"/>
    <x:tableColumn id="47" name="future_work"/>
    <x:tableColumn id="48" name="evidence_world_model"/>
    <x:tableColumn id="49" name="evidence_planning"/>
    <x:tableColumn id="50" name="evidence_horizon"/>
    <x:tableColumn id="51" name="confidence"/>
    <x:tableColumn id="52" name="review_flags"/>
    <x:tableColumn id="53" name="source_document"/>
  </x:tableColumns>
  <x:tableStyleInfo name="TableStyleMedium2" showRowStripes="1"/>
</x:table>
</file>

<file path=xl/tables/table2.xml><?xml version="1.0" encoding="utf-8"?>
<x:table xmlns:x="http://schemas.openxmlformats.org/spreadsheetml/2006/main" id="2" name="Batch11AnnotationsTaxonomy" displayName="Batch11AnnotationsTaxonomy" ref="A1:D15" headerRowCount="1">
  <x:tableColumns count="4">
    <x:tableColumn id="1" name="Field"/>
    <x:tableColumn id="2" name="Definition"/>
    <x:tableColumn id="3" name="Allowed / normalized values"/>
    <x:tableColumn id="4" name="Annotation ru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53acd9b3a254d2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c23b3ff4cd4d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b6c4bb41f44eff" /></Relationships>
</file>

<file path=xl/worksheets/sheet1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16" hidden="0" customWidth="1"/>
    <x:col min="3" max="3" width="51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8" t="str">
        <x:v>WM &amp; Planning Analytics — Batch 11</x:v>
      </x:c>
      <x:c r="B1" s="28"/>
      <x:c r="C1" s="28"/>
      <x:c r="D1" s="28"/>
      <x:c r="E1" s="28"/>
      <x:c r="F1" s="28"/>
      <x:c r="G1" s="28"/>
      <x:c r="H1" s="28"/>
      <x:c r="I1" s="28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4">
      <x:c r="A4" s="35" t="str">
        <x:v>Total papers</x:v>
      </x:c>
      <x:c r="B4" s="43" t="n">
        <x:f>COUNTA(Annotations!$C:$C)-1</x:f>
        <x:v>5</x:v>
      </x:c>
      <x:c r="D4" s="48" t="str">
        <x:v>Batch 11 interpretation notes</x:v>
      </x:c>
      <x:c r="E4" s="48"/>
      <x:c r="F4" s="48"/>
      <x:c r="G4" s="48"/>
      <x:c r="H4" s="48"/>
    </x:row>
    <x:row r="5">
      <x:c r="A5" s="35" t="str">
        <x:v>Method papers</x:v>
      </x:c>
      <x:c r="B5" s="43" t="n">
        <x:f>COUNTIF(Annotations!$I:$I,"Method")</x:f>
        <x:v>3</x:v>
      </x:c>
      <x:c r="D5" s="52" t="str">
        <x:v>• VLA-JEPA is a strict latent world model, but its dynamics supervise a direct flow-matching policy rather than search.
• Surfer predicts one-step scene features and actions; SeaWave levels measure reasoning difficulty, not temporal horizon.
• SD-JEPA is the only explicit planner in this batch, using CEM-MPC over 25 environment steps.
• The cloth review is recorded as 2024 because it first appeared online before its 2025 volume year.
• The broad world-model survey is recorded as 2024 despite the supplied 2025 revision.</x:v>
      </x:c>
      <x:c r="E5" s="52"/>
      <x:c r="F5" s="52"/>
      <x:c r="G5" s="52"/>
      <x:c r="H5" s="52"/>
    </x:row>
    <x:row r="6">
      <x:c r="A6" s="35" t="str">
        <x:v>Survey papers</x:v>
      </x:c>
      <x:c r="B6" s="43" t="n">
        <x:f>COUNTIF(Annotations!$I:$I,"Survey")</x:f>
        <x:v>2</x:v>
      </x:c>
      <x:c r="D6" s="52"/>
      <x:c r="E6" s="52"/>
      <x:c r="F6" s="52"/>
      <x:c r="G6" s="52"/>
      <x:c r="H6" s="52"/>
    </x:row>
    <x:row r="7">
      <x:c r="A7" s="35" t="str">
        <x:v>Benchmark papers</x:v>
      </x:c>
      <x:c r="B7" s="43" t="n">
        <x:f>COUNTIF(Annotations!$I:$I,"Benchmark")</x:f>
        <x:v>0</x:v>
      </x:c>
      <x:c r="D7" s="52"/>
      <x:c r="E7" s="52"/>
      <x:c r="F7" s="52"/>
      <x:c r="G7" s="52"/>
      <x:c r="H7" s="52"/>
    </x:row>
    <x:row r="8">
      <x:c r="A8" s="35" t="str">
        <x:v>Dataset papers</x:v>
      </x:c>
      <x:c r="B8" s="43" t="n">
        <x:f>COUNTIF(Annotations!$I:$I,"Dataset")</x:f>
        <x:v>0</x:v>
      </x:c>
      <x:c r="D8" s="52"/>
      <x:c r="E8" s="52"/>
      <x:c r="F8" s="52"/>
      <x:c r="G8" s="52"/>
      <x:c r="H8" s="52"/>
    </x:row>
    <x:row r="9">
      <x:c r="A9" s="35" t="str">
        <x:v>Method papers using world models</x:v>
      </x:c>
      <x:c r="B9" s="43" t="n">
        <x:f>COUNTIFS(Annotations!$I:$I,"Method",Annotations!$S:$S,"Yes")</x:f>
        <x:v>3</x:v>
      </x:c>
      <x:c r="D9" s="52"/>
      <x:c r="E9" s="52"/>
      <x:c r="F9" s="52"/>
      <x:c r="G9" s="52"/>
      <x:c r="H9" s="52"/>
    </x:row>
    <x:row r="10">
      <x:c r="A10" s="35" t="str">
        <x:v>Definition-sensitive WM papers</x:v>
      </x:c>
      <x:c r="B10" s="43" t="n">
        <x:f>COUNTIFS(Annotations!$I:$I,"Method",Annotations!$S:$S,"Ambiguous")</x:f>
        <x:v>0</x:v>
      </x:c>
      <x:c r="D10" s="52"/>
      <x:c r="E10" s="52"/>
      <x:c r="F10" s="52"/>
      <x:c r="G10" s="52"/>
      <x:c r="H10" s="52"/>
    </x:row>
    <x:row r="11">
      <x:c r="A11" s="35" t="str">
        <x:v>Method papers with explicit planning</x:v>
      </x:c>
      <x:c r="B11" s="43" t="n">
        <x:f>COUNTIFS(Annotations!$I:$I,"Method",Annotations!$Z:$Z,"Yes")</x:f>
        <x:v>1</x:v>
      </x:c>
      <x:c r="D11" s="52"/>
      <x:c r="E11" s="52"/>
      <x:c r="F11" s="52"/>
      <x:c r="G11" s="52"/>
      <x:c r="H11" s="52"/>
    </x:row>
    <x:row r="12">
      <x:c r="A12" s="35" t="str">
        <x:v>Long-horizon method papers</x:v>
      </x:c>
      <x:c r="B12" s="43" t="n">
        <x:f>COUNTIFS(Annotations!$I:$I,"Method",Annotations!$P:$P,"Yes")</x:f>
        <x:v>1</x:v>
      </x:c>
      <x:c r="D12" s="52"/>
      <x:c r="E12" s="52"/>
      <x:c r="F12" s="52"/>
      <x:c r="G12" s="52"/>
      <x:c r="H12" s="52"/>
    </x:row>
    <x:row r="13">
      <x:c r="A13" s="35" t="str">
        <x:v>Long-horizon benchmark papers</x:v>
      </x:c>
      <x:c r="B13" s="43" t="n">
        <x:f>COUNTIFS(Annotations!$I:$I,"Benchmark",Annotations!$P:$P,"Yes")</x:f>
        <x:v>0</x:v>
      </x:c>
    </x:row>
    <x:row r="14">
      <x:c r="A14" s="35" t="str">
        <x:v>Method papers with real-robot evaluation</x:v>
      </x:c>
      <x:c r="B14" s="43" t="n">
        <x:f>COUNTIFS(Annotations!$I:$I,"Method",Annotations!$AQ:$AQ,"Yes")</x:f>
        <x:v>1</x:v>
      </x:c>
    </x:row>
    <x:row r="15">
      <x:c r="A15" s="35" t="str">
        <x:v>High-confidence rows</x:v>
      </x:c>
      <x:c r="B15" s="43" t="n">
        <x:f>COUNTIF(Annotations!$AY:$AY,"High")</x:f>
        <x:v>5</x:v>
      </x:c>
    </x:row>
    <x:row r="18">
      <x:c r="A18" s="48" t="str">
        <x:v>Year</x:v>
      </x:c>
      <x:c r="B18" s="48" t="str">
        <x:v>Methods</x:v>
      </x:c>
      <x:c r="C18" s="48" t="str">
        <x:v>Surveys</x:v>
      </x:c>
      <x:c r="D18" s="48" t="str">
        <x:v>Benchmarks</x:v>
      </x:c>
      <x:c r="E18" s="48" t="str">
        <x:v>Datasets</x:v>
      </x:c>
    </x:row>
    <x:row r="19">
      <x:c r="A19" s="57" t="n">
        <x:v>2023</x:v>
      </x:c>
      <x:c r="B19" s="57" t="n">
        <x:f>COUNTIFS(Annotations!$E:$E,A19,Annotations!$I:$I,"Method")</x:f>
        <x:v>1</x:v>
      </x:c>
      <x:c r="C19" s="57" t="n">
        <x:f>COUNTIFS(Annotations!$E:$E,A19,Annotations!$I:$I,"Survey")</x:f>
        <x:v>0</x:v>
      </x:c>
      <x:c r="D19" s="57" t="n">
        <x:f>COUNTIFS(Annotations!$E:$E,A19,Annotations!$I:$I,"Benchmark")</x:f>
        <x:v>0</x:v>
      </x:c>
      <x:c r="E19" s="57" t="n">
        <x:f>COUNTIFS(Annotations!$E:$E,A19,Annotations!$I:$I,"Dataset")</x:f>
        <x:v>0</x:v>
      </x:c>
    </x:row>
    <x:row r="20">
      <x:c r="A20" s="57" t="n">
        <x:v>2024</x:v>
      </x:c>
      <x:c r="B20" s="57" t="n">
        <x:f>COUNTIFS(Annotations!$E:$E,A20,Annotations!$I:$I,"Method")</x:f>
        <x:v>0</x:v>
      </x:c>
      <x:c r="C20" s="57" t="n">
        <x:f>COUNTIFS(Annotations!$E:$E,A20,Annotations!$I:$I,"Survey")</x:f>
        <x:v>2</x:v>
      </x:c>
      <x:c r="D20" s="57" t="n">
        <x:f>COUNTIFS(Annotations!$E:$E,A20,Annotations!$I:$I,"Benchmark")</x:f>
        <x:v>0</x:v>
      </x:c>
      <x:c r="E20" s="57" t="n">
        <x:f>COUNTIFS(Annotations!$E:$E,A20,Annotations!$I:$I,"Dataset")</x:f>
        <x:v>0</x:v>
      </x:c>
    </x:row>
    <x:row r="21">
      <x:c r="A21" s="57" t="n">
        <x:v>2026</x:v>
      </x:c>
      <x:c r="B21" s="57" t="n">
        <x:f>COUNTIFS(Annotations!$E:$E,A21,Annotations!$I:$I,"Method")</x:f>
        <x:v>2</x:v>
      </x:c>
      <x:c r="C21" s="57" t="n">
        <x:f>COUNTIFS(Annotations!$E:$E,A21,Annotations!$I:$I,"Survey")</x:f>
        <x:v>0</x:v>
      </x:c>
      <x:c r="D21" s="57" t="n">
        <x:f>COUNTIFS(Annotations!$E:$E,A21,Annotations!$I:$I,"Benchmark")</x:f>
        <x:v>0</x:v>
      </x:c>
      <x:c r="E21" s="57" t="n">
        <x:f>COUNTIFS(Annotations!$E:$E,A21,Annotations!$I:$I,"Dataset")</x:f>
        <x:v>0</x:v>
      </x:c>
    </x:row>
    <x:row r="24">
      <x:c r="A24" s="48" t="str">
        <x:v>World-model status</x:v>
      </x:c>
      <x:c r="B24" s="48" t="str">
        <x:v>Method count</x:v>
      </x:c>
      <x:c r="C24" s="48" t="str">
        <x:v>Interpretation</x:v>
      </x:c>
    </x:row>
    <x:row r="25">
      <x:c r="A25" s="13" t="str">
        <x:v>Yes</x:v>
      </x:c>
      <x:c r="B25" s="13" t="n">
        <x:f>COUNTIFS(Annotations!$I:$I,"Method",Annotations!$S:$S,A25)</x:f>
        <x:v>3</x:v>
      </x:c>
      <x:c r="C25" s="13" t="str">
        <x:v>Strict predictive environment model</x:v>
      </x:c>
    </x:row>
    <x:row r="26">
      <x:c r="A26" s="13" t="str">
        <x:v>Ambiguous</x:v>
      </x:c>
      <x:c r="B26" s="13" t="n">
        <x:f>COUNTIFS(Annotations!$I:$I,"Method",Annotations!$S:$S,A26)</x:f>
        <x:v>0</x:v>
      </x:c>
      <x:c r="C26" s="13" t="str">
        <x:v>World-model terminology without explicit environment prediction</x:v>
      </x:c>
    </x:row>
    <x:row r="27">
      <x:c r="A27" s="13" t="str">
        <x:v>No</x:v>
      </x:c>
      <x:c r="B27" s="13" t="n">
        <x:f>COUNTIFS(Annotations!$I:$I,"Method",Annotations!$S:$S,A27)</x:f>
        <x:v>0</x:v>
      </x:c>
      <x:c r="C27" s="13" t="str">
        <x:v>No learned downstream predictive environment model</x:v>
      </x:c>
    </x:row>
  </x:sheetData>
  <x:mergeCells>
    <x:mergeCell ref="A1:I2"/>
    <x:mergeCell ref="D4:H4"/>
    <x:mergeCell ref="D5:H12"/>
  </x:mergeCells>
  <x:pageMargins left="0.7" right="0.7" top="0.75" bottom="0.75" header="0.3" footer="0.3"/>
  <x:drawing xmlns:r="http://schemas.openxmlformats.org/officeDocument/2006/relationships" r:id="R353acd9b3a254d22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28" hidden="0" customWidth="1"/>
    <x:col min="5" max="5" width="1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34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34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28" hidden="0" customWidth="1"/>
    <x:col min="38" max="38" width="28" hidden="0" customWidth="1"/>
    <x:col min="39" max="39" width="18" hidden="0" customWidth="1"/>
    <x:col min="40" max="40" width="28" hidden="0" customWidth="1"/>
    <x:col min="41" max="41" width="28" hidden="0" customWidth="1"/>
    <x:col min="42" max="42" width="18" hidden="0" customWidth="1"/>
    <x:col min="43" max="43" width="18" hidden="0" customWidth="1"/>
    <x:col min="44" max="44" width="34" hidden="0" customWidth="1"/>
    <x:col min="45" max="45" width="34" hidden="0" customWidth="1"/>
    <x:col min="46" max="46" width="34" hidden="0" customWidth="1"/>
    <x:col min="47" max="47" width="34" hidden="0" customWidth="1"/>
    <x:col min="48" max="48" width="34" hidden="0" customWidth="1"/>
    <x:col min="49" max="49" width="34" hidden="0" customWidth="1"/>
    <x:col min="50" max="50" width="34" hidden="0" customWidth="1"/>
    <x:col min="51" max="51" width="18" hidden="0" customWidth="1"/>
    <x:col min="52" max="52" width="34" hidden="0" customWidth="1"/>
    <x:col min="53" max="53" width="28" hidden="0" customWidth="1"/>
  </x:cols>
  <x:sheetData>
    <x:row r="1">
      <x:c r="A1" s="6" t="str">
        <x:v>batch_id</x:v>
      </x:c>
      <x:c r="B1" s="6" t="str">
        <x:v>paper_id</x:v>
      </x:c>
      <x:c r="C1" s="6" t="str">
        <x:v>title</x:v>
      </x:c>
      <x:c r="D1" s="6" t="str">
        <x:v>authors</x:v>
      </x:c>
      <x:c r="E1" s="6" t="str">
        <x:v>year</x:v>
      </x:c>
      <x:c r="F1" s="6" t="str">
        <x:v>year_basis</x:v>
      </x:c>
      <x:c r="G1" s="6" t="str">
        <x:v>venue</x:v>
      </x:c>
      <x:c r="H1" s="6" t="str">
        <x:v>publication_status</x:v>
      </x:c>
      <x:c r="I1" s="6" t="str">
        <x:v>paper_type</x:v>
      </x:c>
      <x:c r="J1" s="6" t="str">
        <x:v>citation_count</x:v>
      </x:c>
      <x:c r="K1" s="6" t="str">
        <x:v>doi_or_identifier</x:v>
      </x:c>
      <x:c r="L1" s="6" t="str">
        <x:v>open_source</x:v>
      </x:c>
      <x:c r="M1" s="6" t="str">
        <x:v>open_source_notes</x:v>
      </x:c>
      <x:c r="N1" s="6" t="str">
        <x:v>task_domain</x:v>
      </x:c>
      <x:c r="O1" s="6" t="str">
        <x:v>primary_problem</x:v>
      </x:c>
      <x:c r="P1" s="6" t="str">
        <x:v>long_horizon</x:v>
      </x:c>
      <x:c r="Q1" s="6" t="str">
        <x:v>language_conditioned</x:v>
      </x:c>
      <x:c r="R1" s="6" t="str">
        <x:v>human_robot_interaction</x:v>
      </x:c>
      <x:c r="S1" s="6" t="str">
        <x:v>uses_world_model</x:v>
      </x:c>
      <x:c r="T1" s="6" t="str">
        <x:v>world_model_family</x:v>
      </x:c>
      <x:c r="U1" s="6" t="str">
        <x:v>world_model_detail</x:v>
      </x:c>
      <x:c r="V1" s="6" t="str">
        <x:v>predictive_space</x:v>
      </x:c>
      <x:c r="W1" s="6" t="str">
        <x:v>prediction_target</x:v>
      </x:c>
      <x:c r="X1" s="6" t="str">
        <x:v>action_conditioned</x:v>
      </x:c>
      <x:c r="Y1" s="6" t="str">
        <x:v>video_prediction</x:v>
      </x:c>
      <x:c r="Z1" s="6" t="str">
        <x:v>uses_planning</x:v>
      </x:c>
      <x:c r="AA1" s="6" t="str">
        <x:v>planning_method</x:v>
      </x:c>
      <x:c r="AB1" s="6" t="str">
        <x:v>planning_representation</x:v>
      </x:c>
      <x:c r="AC1" s="6" t="str">
        <x:v>planning_horizon</x:v>
      </x:c>
      <x:c r="AD1" s="6" t="str">
        <x:v>horizon_basis</x:v>
      </x:c>
      <x:c r="AE1" s="6" t="str">
        <x:v>hierarchical_planning</x:v>
      </x:c>
      <x:c r="AF1" s="6" t="str">
        <x:v>replanning_online</x:v>
      </x:c>
      <x:c r="AG1" s="6" t="str">
        <x:v>planning_role</x:v>
      </x:c>
      <x:c r="AH1" s="6" t="str">
        <x:v>learning_type</x:v>
      </x:c>
      <x:c r="AI1" s="6" t="str">
        <x:v>policy_type</x:v>
      </x:c>
      <x:c r="AJ1" s="6" t="str">
        <x:v>pretraining</x:v>
      </x:c>
      <x:c r="AK1" s="6" t="str">
        <x:v>observation_modality</x:v>
      </x:c>
      <x:c r="AL1" s="6" t="str">
        <x:v>goal_representation</x:v>
      </x:c>
      <x:c r="AM1" s="6" t="str">
        <x:v>action_space</x:v>
      </x:c>
      <x:c r="AN1" s="6" t="str">
        <x:v>benchmark</x:v>
      </x:c>
      <x:c r="AO1" s="6" t="str">
        <x:v>robot_platform</x:v>
      </x:c>
      <x:c r="AP1" s="6" t="str">
        <x:v>simulation</x:v>
      </x:c>
      <x:c r="AQ1" s="6" t="str">
        <x:v>real_robot</x:v>
      </x:c>
      <x:c r="AR1" s="6" t="str">
        <x:v>main_contribution</x:v>
      </x:c>
      <x:c r="AS1" s="6" t="str">
        <x:v>novelty</x:v>
      </x:c>
      <x:c r="AT1" s="6" t="str">
        <x:v>limitations</x:v>
      </x:c>
      <x:c r="AU1" s="6" t="str">
        <x:v>future_work</x:v>
      </x:c>
      <x:c r="AV1" s="6" t="str">
        <x:v>evidence_world_model</x:v>
      </x:c>
      <x:c r="AW1" s="6" t="str">
        <x:v>evidence_planning</x:v>
      </x:c>
      <x:c r="AX1" s="6" t="str">
        <x:v>evidence_horizon</x:v>
      </x:c>
      <x:c r="AY1" s="6" t="str">
        <x:v>confidence</x:v>
      </x:c>
      <x:c r="AZ1" s="6" t="str">
        <x:v>review_flags</x:v>
      </x:c>
      <x:c r="BA1" s="6" t="str">
        <x:v>source_document</x:v>
      </x:c>
    </x:row>
    <x:row r="2">
      <x:c r="A2" s="13" t="str">
        <x:v>batch_11</x:v>
      </x:c>
      <x:c r="B2" s="13" t="str">
        <x:v>B11-001</x:v>
      </x:c>
      <x:c r="C2" s="13" t="str">
        <x:v>VLA-JEPA: Enhancing Vision-Language-Action Model with Latent World Model</x:v>
      </x:c>
      <x:c r="D2" s="13" t="str">
        <x:v>Jingwen Sun; Wenyao Zhang; Zekun Qi; Shaojie Ren; Zezhi Liu; Hanxin Zhu; Guangzhong Sun; Xin Jin; Zhibo Chen</x:v>
      </x:c>
      <x:c r="E2" s="13" t="n">
        <x:v>2026</x:v>
      </x:c>
      <x:c r="F2" s="13" t="str">
        <x:v>First public appearance: arXiv:2602.10098 in Feb 2026; supplied version dated 17 Feb 2026</x:v>
      </x:c>
      <x:c r="G2" s="13" t="str">
        <x:v>arXiv</x:v>
      </x:c>
      <x:c r="H2" s="13" t="str">
        <x:v>Preprint</x:v>
      </x:c>
      <x:c r="I2" s="13" t="str">
        <x:v>Method</x:v>
      </x:c>
      <x:c r="J2" s="13" t="str"/>
      <x:c r="K2" s="13" t="str">
        <x:v>arXiv:2602.10098</x:v>
      </x:c>
      <x:c r="L2" s="13" t="str">
        <x:v>Yes</x:v>
      </x:c>
      <x:c r="M2" s="13" t="str">
        <x:v>Code, project page, and Hugging Face models are publicly released.</x:v>
      </x:c>
      <x:c r="N2" s="13" t="str">
        <x:v>Manipulation; Vision-Language-Action Control</x:v>
      </x:c>
      <x:c r="O2" s="13" t="str">
        <x:v>World Modeling; Policy Learning; Human-Video Pretraining; Generalization</x:v>
      </x:c>
      <x:c r="P2" s="13" t="str">
        <x:v>Yes</x:v>
      </x:c>
      <x:c r="Q2" s="13" t="str">
        <x:v>Yes</x:v>
      </x:c>
      <x:c r="R2" s="13" t="str">
        <x:v>No</x:v>
      </x:c>
      <x:c r="S2" s="13" t="str">
        <x:v>Yes</x:v>
      </x:c>
      <x:c r="T2" s="13" t="str">
        <x:v>JEPA</x:v>
      </x:c>
      <x:c r="U2" s="13" t="str">
        <x:v>A frozen V-JEPA 2 world-state encoder and causal transformer predictor learn leakage-free latent state transitions conditioned on learned latent-action tokens; a flow-matching head generates robot actions.</x:v>
      </x:c>
      <x:c r="V2" s="13" t="str">
        <x:v>Latent</x:v>
      </x:c>
      <x:c r="W2" s="13" t="str">
        <x:v>Future multi-view latent world-state chunks</x:v>
      </x:c>
      <x:c r="X2" s="13" t="str">
        <x:v>Yes — conditioned on learned latent-action tokens rather than explicit low-level actions during human-video pretraining</x:v>
      </x:c>
      <x:c r="Y2" s="13" t="str">
        <x:v>No — future states are predicted in V-JEPA latent space</x:v>
      </x:c>
      <x:c r="Z2" s="13" t="str">
        <x:v>No</x:v>
      </x:c>
      <x:c r="AA2" s="13" t="str">
        <x:v>None — latent dynamics supervise a direct VLA action policy</x:v>
      </x:c>
      <x:c r="AB2" s="13" t="str">
        <x:v>N/A</x:v>
      </x:c>
      <x:c r="AC2" s="13" t="str">
        <x:v>None</x:v>
      </x:c>
      <x:c r="AD2" s="13" t="str">
        <x:v>The model predicts an action chunk and latent future-state sequence; it does not search over candidate action sequences. LIBERO includes long-horizon evaluations.</x:v>
      </x:c>
      <x:c r="AE2" s="13" t="str">
        <x:v>No</x:v>
      </x:c>
      <x:c r="AF2" s="13" t="str">
        <x:v>Yes — action trajectories are regenerated from current observations during closed-loop execution</x:v>
      </x:c>
      <x:c r="AG2" s="13" t="str">
        <x:v>Local Controller</x:v>
      </x:c>
      <x:c r="AH2" s="13" t="str">
        <x:v>Self-Supervised Video Pretraining; Imitation Learning; Flow Matching</x:v>
      </x:c>
      <x:c r="AI2" s="13" t="str">
        <x:v>VLA with JEPA Latent World Model and Flow-Matching Action Head</x:v>
      </x:c>
      <x:c r="AJ2" s="13" t="str">
        <x:v>Yes — Qwen3-VL, V-JEPA 2, Something-Something-v2 human video, and DROID robot demonstrations</x:v>
      </x:c>
      <x:c r="AK2" s="13" t="str">
        <x:v>Language; multi-view RGB video; robot demonstration trajectories</x:v>
      </x:c>
      <x:c r="AL2" s="13" t="str">
        <x:v>Natural-language instruction</x:v>
      </x:c>
      <x:c r="AM2" s="13" t="str">
        <x:v>Continuous action trajectories generated by conditional flow matching</x:v>
      </x:c>
      <x:c r="AN2" s="13" t="str">
        <x:v>LIBERO; LIBERO-Plus; SimplerEnv; three custom real-world tasks</x:v>
      </x:c>
      <x:c r="AO2" s="13" t="str">
        <x:v>Franka Emika Panda; Google Robot; WidowX</x:v>
      </x:c>
      <x:c r="AP2" s="13" t="str">
        <x:v>Yes</x:v>
      </x:c>
      <x:c r="AQ2" s="13" t="str">
        <x:v>Yes</x:v>
      </x:c>
      <x:c r="AR2" s="13" t="str">
        <x:v>Introduces leakage-free JEPA pretraining that learns action-relevant latent transition semantics from action-free human video and robot demonstrations.</x:v>
      </x:c>
      <x:c r="AS2" s="13" t="str">
        <x:v>Future frames are used only as latent supervision targets, avoiding pixel shortcuts and future-information leakage while reducing prior latent-action pipelines to two stages.</x:v>
      </x:c>
      <x:c r="AT2" s="13" t="str">
        <x:v>Training uses substantial compute, the real-world evaluation contains only three tasks and 100 demonstrations, performance is sensitive to prediction horizon, and the model provides no explicit planning or counterfactual action search.</x:v>
      </x:c>
      <x:c r="AU2" s="13" t="str">
        <x:v>Scale human-video pretraining with more robot data and text-based reasoning signals and improve robustness and generalization.</x:v>
      </x:c>
      <x:c r="AV2" s="13" t="str">
        <x:v>A causal transformer predicts future V-JEPA world-state embeddings from past states and learned latent-action tokens.</x:v>
      </x:c>
      <x:c r="AW2" s="13" t="str">
        <x:v>The predicted latent dynamics condition a flow-matching action head; no MPC, search, or candidate-rollout scoring is used.</x:v>
      </x:c>
      <x:c r="AX2" s="13" t="str">
        <x:v>LIBERO long-horizon tasks are evaluated, but the method remains a closed-loop chunked policy with planning_horizon=None.</x:v>
      </x:c>
      <x:c r="AY2" s="13" t="str">
        <x:v>High</x:v>
      </x:c>
      <x:c r="AZ2" s="13" t="str">
        <x:v>Core JEPA/VLA world-model paper. Count as a strict latent world model but exclude from explicit-planner counts.</x:v>
      </x:c>
      <x:c r="BA2" s="13" t="str">
        <x:v>VLA-JEPA_ Enhancing Vision-Language-Action Model with Latent World Model.txt</x:v>
      </x:c>
    </x:row>
    <x:row r="3">
      <x:c r="A3" s="13" t="str">
        <x:v>batch_11</x:v>
      </x:c>
      <x:c r="B3" s="13" t="str">
        <x:v>B11-002</x:v>
      </x:c>
      <x:c r="C3" s="13" t="str">
        <x:v>Unfolding the Literature: A Review of Robotic Cloth Manipulation</x:v>
      </x:c>
      <x:c r="D3" s="13" t="str">
        <x:v>Alberta Longhini; Yufei Wang; Irene Garcia-Camacho; David Blanco-Mulero; Marco Moletta; Michael Welle; Guillem Alenyà; Hang Yin; Zackory Erickson; David Held; Júlia Borràs; Danica Kragic</x:v>
      </x:c>
      <x:c r="E3" s="13" t="n">
        <x:v>2024</x:v>
      </x:c>
      <x:c r="F3" s="13" t="str">
        <x:v>First published as a Review in Advance on 2 Dec 2024; journal volume year is 2025</x:v>
      </x:c>
      <x:c r="G3" s="13" t="str">
        <x:v>Annual Review of Control, Robotics, and Autonomous Systems</x:v>
      </x:c>
      <x:c r="H3" s="13" t="str">
        <x:v>Peer-reviewed review article</x:v>
      </x:c>
      <x:c r="I3" s="13" t="str">
        <x:v>Survey</x:v>
      </x:c>
      <x:c r="J3" s="13" t="str"/>
      <x:c r="K3" s="13" t="str">
        <x:v>10.1146/annurev-control-022723-033252</x:v>
      </x:c>
      <x:c r="L3" s="13" t="str">
        <x:v>Unknown</x:v>
      </x:c>
      <x:c r="M3" s="13" t="str">
        <x:v>The article is open access under CC BY 4.0, but no companion code repository is identified.</x:v>
      </x:c>
      <x:c r="N3" s="13" t="str">
        <x:v>Cloth Manipulation; Deformable Objects; Assistive and Industrial Robotics</x:v>
      </x:c>
      <x:c r="O3" s="13" t="str">
        <x:v>Survey; Generalization; Modeling; Perception; Manipulation; Benchmarking</x:v>
      </x:c>
      <x:c r="P3" s="13" t="str">
        <x:v>N/A — long-horizon adaptive textile manipulation is identified as a grand challenge</x:v>
      </x:c>
      <x:c r="Q3" s="13" t="str">
        <x:v>N/A</x:v>
      </x:c>
      <x:c r="R3" s="13" t="str">
        <x:v>N/A — assistive dressing and healthcare applications are reviewed</x:v>
      </x:c>
      <x:c r="S3" s="13" t="str">
        <x:v>N/A — analytical and learned textile dynamics models are reviewed</x:v>
      </x:c>
      <x:c r="T3" s="13" t="str">
        <x:v>N/A — multiple analytical, graph, neural, and simulation-based models</x:v>
      </x:c>
      <x:c r="U3" s="13" t="str">
        <x:v>Reviews textile dynamics modeling, perception, manipulation strategies, datasets, and benchmarks with emphasis on variation in physical and mechanical properties.</x:v>
      </x:c>
      <x:c r="V3" s="13" t="str">
        <x:v>N/A</x:v>
      </x:c>
      <x:c r="W3" s="13" t="str">
        <x:v>N/A</x:v>
      </x:c>
      <x:c r="X3" s="13" t="str">
        <x:v>N/A</x:v>
      </x:c>
      <x:c r="Y3" s="13" t="str">
        <x:v>N/A</x:v>
      </x:c>
      <x:c r="Z3" s="13" t="str">
        <x:v>N/A — planning and control methods are reviewed</x:v>
      </x:c>
      <x:c r="AA3" s="13" t="str">
        <x:v>N/A</x:v>
      </x:c>
      <x:c r="AB3" s="13" t="str">
        <x:v>Multiple: particles, meshes, keypoints, latent states, and visual/tactile representations</x:v>
      </x:c>
      <x:c r="AC3" s="13" t="str">
        <x:v>N/A</x:v>
      </x:c>
      <x:c r="AD3" s="13" t="str">
        <x:v>The review covers individual and sequential cloth tasks but proposes no normalized planner.</x:v>
      </x:c>
      <x:c r="AE3" s="13" t="str">
        <x:v>N/A</x:v>
      </x:c>
      <x:c r="AF3" s="13" t="str">
        <x:v>N/A</x:v>
      </x:c>
      <x:c r="AG3" s="13" t="str">
        <x:v>N/A</x:v>
      </x:c>
      <x:c r="AH3" s="13" t="str">
        <x:v>N/A</x:v>
      </x:c>
      <x:c r="AI3" s="13" t="str">
        <x:v>N/A</x:v>
      </x:c>
      <x:c r="AJ3" s="13" t="str">
        <x:v>N/A</x:v>
      </x:c>
      <x:c r="AK3" s="13" t="str">
        <x:v>Vision; depth; tactile; force; audio; multimodal textile sensing</x:v>
      </x:c>
      <x:c r="AL3" s="13" t="str">
        <x:v>Multiple cloth configurations and application-specific objectives</x:v>
      </x:c>
      <x:c r="AM3" s="13" t="str">
        <x:v>Multiple: grasping, pick-and-place, dynamic manipulation, dressing, folding, and industrial operations</x:v>
      </x:c>
      <x:c r="AN3" s="13" t="str">
        <x:v>Multiple cloth datasets, standardized textile sets, simulators, and manipulation benchmarks</x:v>
      </x:c>
      <x:c r="AO3" s="13" t="str">
        <x:v>Multiple</x:v>
      </x:c>
      <x:c r="AP3" s="13" t="str">
        <x:v>Both / Survey</x:v>
      </x:c>
      <x:c r="AQ3" s="13" t="str">
        <x:v>Both / Survey</x:v>
      </x:c>
      <x:c r="AR3" s="13" t="str">
        <x:v>Reviews robotic textile manipulation through the lens of generalization and adaptation to variations in object properties and tasks.</x:v>
      </x:c>
      <x:c r="AS3" s="13" t="str">
        <x:v>Connects textile physical and mechanical properties to modeling, perception, manipulation, datasets, and benchmarking rather than organizing only by task.</x:v>
      </x:c>
      <x:c r="AT3" s="13" t="str">
        <x:v>The field has limited generalization across textiles, few online adaptation methods, underexplored multimodal sensing and diffusion policies, and weak standardization of datasets and benchmarks.</x:v>
      </x:c>
      <x:c r="AU3" s="13" t="str">
        <x:v>Develop property-aware perception, adaptive multitask multimodal agents for long-horizon tasks, and standardized datasets and benchmarks capturing real-world textile variation.</x:v>
      </x:c>
      <x:c r="AV3" s="13" t="str">
        <x:v>The review covers analytical and learned cloth dynamics models but contributes no single predictive world model.</x:v>
      </x:c>
      <x:c r="AW3" s="13" t="str">
        <x:v>Planning and control approaches are surveyed as part of a broader modeling-perception-manipulation pipeline.</x:v>
      </x:c>
      <x:c r="AX3" s="13" t="str">
        <x:v>Long-horizon textile autonomy is proposed as a future grand challenge rather than evaluated by one method.</x:v>
      </x:c>
      <x:c r="AY3" s="13" t="str">
        <x:v>High</x:v>
      </x:c>
      <x:c r="AZ3" s="13" t="str">
        <x:v>Supporting deformable-manipulation survey; retain for cloth, generalization, and benchmark-gap analyses but exclude from method counts.</x:v>
      </x:c>
      <x:c r="BA3" s="13" t="str">
        <x:v>Unfolding the Literature_A Review of Robotic Cloth Manipulation.txt</x:v>
      </x:c>
    </x:row>
    <x:row r="4">
      <x:c r="A4" s="13" t="str">
        <x:v>batch_11</x:v>
      </x:c>
      <x:c r="B4" s="13" t="str">
        <x:v>B11-003</x:v>
      </x:c>
      <x:c r="C4" s="13" t="str">
        <x:v>Understanding World or Predicting Future? A Comprehensive Survey of World Models</x:v>
      </x:c>
      <x:c r="D4" s="13" t="str">
        <x:v>Jingtao Ding; Yunke Zhang; Yu Shang; Jie Feng; Yuheng Zhang; Zefang Zong; Yuan Yuan; Hongyuan Su; Nian Li; Jinghua Piao; Yucheng Deng; Nicholas Sukiennik; Chen Gao; Fengli Xu; Yong Li</x:v>
      </x:c>
      <x:c r="E4" s="13" t="n">
        <x:v>2024</x:v>
      </x:c>
      <x:c r="F4" s="13" t="str">
        <x:v>First public appearance: arXiv:2411.14499 in Nov 2024; supplied revision v4 dated 10 Dec 2025</x:v>
      </x:c>
      <x:c r="G4" s="13" t="str">
        <x:v>ACM Computing Surveys / arXiv</x:v>
      </x:c>
      <x:c r="H4" s="13" t="str">
        <x:v>Survey manuscript / revised preprint</x:v>
      </x:c>
      <x:c r="I4" s="13" t="str">
        <x:v>Survey</x:v>
      </x:c>
      <x:c r="J4" s="13" t="str"/>
      <x:c r="K4" s="13" t="str">
        <x:v>arXiv:2411.14499</x:v>
      </x:c>
      <x:c r="L4" s="13" t="str">
        <x:v>Yes</x:v>
      </x:c>
      <x:c r="M4" s="13" t="str">
        <x:v>The authors maintain a public World-Model repository containing representative papers and code links.</x:v>
      </x:c>
      <x:c r="N4" s="13" t="str">
        <x:v>General AI; Robotics; Autonomous Driving; Games; Social Simulation</x:v>
      </x:c>
      <x:c r="O4" s="13" t="str">
        <x:v>Survey; World-Model Taxonomy; Representation; Future Prediction</x:v>
      </x:c>
      <x:c r="P4" s="13" t="str">
        <x:v>N/A — long-term prediction and decision making are reviewed</x:v>
      </x:c>
      <x:c r="Q4" s="13" t="str">
        <x:v>N/A — LLM and multimodal world models are reviewed</x:v>
      </x:c>
      <x:c r="R4" s="13" t="str">
        <x:v>N/A</x:v>
      </x:c>
      <x:c r="S4" s="13" t="str">
        <x:v>N/A — the paper reviews multiple definitions and families</x:v>
      </x:c>
      <x:c r="T4" s="13" t="str">
        <x:v>N/A — model-based RL, JEPA, video generation, LLM, and interactive 3D models</x:v>
      </x:c>
      <x:c r="U4" s="13" t="str">
        <x:v>Categorizes world models into implicit representations that understand mechanisms and predictive models that simulate future world evolution.</x:v>
      </x:c>
      <x:c r="V4" s="13" t="str">
        <x:v>N/A</x:v>
      </x:c>
      <x:c r="W4" s="13" t="str">
        <x:v>N/A</x:v>
      </x:c>
      <x:c r="X4" s="13" t="str">
        <x:v>N/A</x:v>
      </x:c>
      <x:c r="Y4" s="13" t="str">
        <x:v>N/A</x:v>
      </x:c>
      <x:c r="Z4" s="13" t="str">
        <x:v>N/A — decision-making and planning applications are reviewed</x:v>
      </x:c>
      <x:c r="AA4" s="13" t="str">
        <x:v>N/A</x:v>
      </x:c>
      <x:c r="AB4" s="13" t="str">
        <x:v>Multiple: latent state, language knowledge, pixels/video, 3D environments, and social states</x:v>
      </x:c>
      <x:c r="AC4" s="13" t="str">
        <x:v>N/A</x:v>
      </x:c>
      <x:c r="AD4" s="13" t="str">
        <x:v>The survey discusses long-term consistency and planning but does not implement one planner.</x:v>
      </x:c>
      <x:c r="AE4" s="13" t="str">
        <x:v>N/A</x:v>
      </x:c>
      <x:c r="AF4" s="13" t="str">
        <x:v>N/A</x:v>
      </x:c>
      <x:c r="AG4" s="13" t="str">
        <x:v>N/A</x:v>
      </x:c>
      <x:c r="AH4" s="13" t="str">
        <x:v>N/A</x:v>
      </x:c>
      <x:c r="AI4" s="13" t="str">
        <x:v>N/A</x:v>
      </x:c>
      <x:c r="AJ4" s="13" t="str">
        <x:v>N/A</x:v>
      </x:c>
      <x:c r="AK4" s="13" t="str">
        <x:v>Multiple: text; image; video; 3D; driving sensors; agent observations</x:v>
      </x:c>
      <x:c r="AL4" s="13" t="str">
        <x:v>Multiple</x:v>
      </x:c>
      <x:c r="AM4" s="13" t="str">
        <x:v>Multiple</x:v>
      </x:c>
      <x:c r="AN4" s="13" t="str">
        <x:v>Multiple benchmarks across games, autonomous driving, robotics, embodied environments, and social simulacra</x:v>
      </x:c>
      <x:c r="AO4" s="13" t="str">
        <x:v>Multiple</x:v>
      </x:c>
      <x:c r="AP4" s="13" t="str">
        <x:v>Both / Survey</x:v>
      </x:c>
      <x:c r="AQ4" s="13" t="str">
        <x:v>Both / Survey</x:v>
      </x:c>
      <x:c r="AR4" s="13" t="str">
        <x:v>Provides a comprehensive taxonomy separating world understanding through implicit representation from future prediction through simulation.</x:v>
      </x:c>
      <x:c r="AS4" s="13" t="str">
        <x:v>Unifies model-based RL, JEPA, LLM world knowledge, video generation, interactive environments, and domain applications under two core functions.</x:v>
      </x:c>
      <x:c r="AT4" s="13" t="str">
        <x:v>World models still struggle with causal and counterfactual reasoning, physical consistency, action controllability, long-term coherence, evaluation, scalability, safety, and accountability.</x:v>
      </x:c>
      <x:c r="AU4" s="13" t="str">
        <x:v>Develop interactive and physically grounded multimodal world models, stronger long-horizon consistency and controllability, better evaluation, and safeguards for responsible use.</x:v>
      </x:c>
      <x:c r="AV4" s="13" t="str">
        <x:v>The survey explicitly distinguishes internal world representations from models that forecast future external states.</x:v>
      </x:c>
      <x:c r="AW4" s="13" t="str">
        <x:v>Planning and decision making are treated as downstream consumers of representation and prediction capabilities.</x:v>
      </x:c>
      <x:c r="AX4" s="13" t="str">
        <x:v>Long-horizon prediction is a field-level challenge rather than a paper-specific planning horizon.</x:v>
      </x:c>
      <x:c r="AY4" s="13" t="str">
        <x:v>High</x:v>
      </x:c>
      <x:c r="AZ4" s="13" t="str">
        <x:v>Exclude from method counts; retain for taxonomy comparison, definitions, and broad research-gap analysis.</x:v>
      </x:c>
      <x:c r="BA4" s="13" t="str">
        <x:v>Understanding World or Predicting Future_ A Comprehensive Survey of World Models.txt</x:v>
      </x:c>
    </x:row>
    <x:row r="5">
      <x:c r="A5" s="13" t="str">
        <x:v>batch_11</x:v>
      </x:c>
      <x:c r="B5" s="13" t="str">
        <x:v>B11-004</x:v>
      </x:c>
      <x:c r="C5" s="13" t="str">
        <x:v>Surfer: Progressive Reasoning with World Models for Robotic Manipulation</x:v>
      </x:c>
      <x:c r="D5" s="13" t="str">
        <x:v>Pengzhen Ren; Kaidong Zhang; Zixuan Li; Hetao Zheng; Yuhang Wen; Fengda Zhu; Mas Ma; Xiaodan Liang</x:v>
      </x:c>
      <x:c r="E5" s="13" t="n">
        <x:v>2023</x:v>
      </x:c>
      <x:c r="F5" s="13" t="str">
        <x:v>First public appearance: arXiv:2306.11335 in Jun 2023; supplied revision v4 dated 20 Mar 2024</x:v>
      </x:c>
      <x:c r="G5" s="13" t="str">
        <x:v>arXiv</x:v>
      </x:c>
      <x:c r="H5" s="13" t="str">
        <x:v>Preprint</x:v>
      </x:c>
      <x:c r="I5" s="13" t="str">
        <x:v>Method</x:v>
      </x:c>
      <x:c r="J5" s="13" t="str"/>
      <x:c r="K5" s="13" t="str">
        <x:v>arXiv:2306.11335</x:v>
      </x:c>
      <x:c r="L5" s="13" t="str">
        <x:v>Unknown</x:v>
      </x:c>
      <x:c r="M5" s="13" t="str">
        <x:v>No public code repository was identified in the supplied manuscript.</x:v>
      </x:c>
      <x:c r="N5" s="13" t="str">
        <x:v>Language-Guided Manipulation; Embodied AI</x:v>
      </x:c>
      <x:c r="O5" s="13" t="str">
        <x:v>World Modeling; Policy Learning; Multimodal Reasoning; Benchmarking</x:v>
      </x:c>
      <x:c r="P5" s="13" t="str">
        <x:v>No</x:v>
      </x:c>
      <x:c r="Q5" s="13" t="str">
        <x:v>Yes</x:v>
      </x:c>
      <x:c r="R5" s="13" t="str">
        <x:v>No</x:v>
      </x:c>
      <x:c r="S5" s="13" t="str">
        <x:v>Yes</x:v>
      </x:c>
      <x:c r="T5" s="13" t="str">
        <x:v>Transformer</x:v>
      </x:c>
      <x:c r="U5" s="13" t="str">
        <x:v>Transformer action and scene heads jointly predict the next robot action and the latent feature of the next visual frame from image history, robot state, language, and predicted action.</x:v>
      </x:c>
      <x:c r="V5" s="13" t="str">
        <x:v>Latent / Observation</x:v>
      </x:c>
      <x:c r="W5" s="13" t="str">
        <x:v>Next action and next-frame visual feature</x:v>
      </x:c>
      <x:c r="X5" s="13" t="str">
        <x:v>Yes — the scene predictor is conditioned on the predicted robot action</x:v>
      </x:c>
      <x:c r="Y5" s="13" t="str">
        <x:v>No — predicts a single next-frame feature rather than a video rollout</x:v>
      </x:c>
      <x:c r="Z5" s="13" t="str">
        <x:v>No</x:v>
      </x:c>
      <x:c r="AA5" s="13" t="str">
        <x:v>None — direct action prediction with auxiliary next-scene supervision</x:v>
      </x:c>
      <x:c r="AB5" s="13" t="str">
        <x:v>N/A</x:v>
      </x:c>
      <x:c r="AC5" s="13" t="str">
        <x:v>None</x:v>
      </x:c>
      <x:c r="AD5" s="13" t="str">
        <x:v>SeaWave's four levels increase linguistic and visual reasoning difficulty rather than temporal task length.</x:v>
      </x:c>
      <x:c r="AE5" s="13" t="str">
        <x:v>No</x:v>
      </x:c>
      <x:c r="AF5" s="13" t="str">
        <x:v>Yes — the next action is regenerated from recent image and state history</x:v>
      </x:c>
      <x:c r="AG5" s="13" t="str">
        <x:v>Local Controller</x:v>
      </x:c>
      <x:c r="AH5" s="13" t="str">
        <x:v>Imitation Learning; Auxiliary Latent Scene Prediction</x:v>
      </x:c>
      <x:c r="AI5" s="13" t="str">
        <x:v>Language-Conditioned Transformer Manipulation Policy</x:v>
      </x:c>
      <x:c r="AJ5" s="13" t="str">
        <x:v>Yes — pretrained CLIP vision and text encoders</x:v>
      </x:c>
      <x:c r="AK5" s="13" t="str">
        <x:v>RGB history; robot state; natural-language instruction</x:v>
      </x:c>
      <x:c r="AL5" s="13" t="str">
        <x:v>Natural-language instruction</x:v>
      </x:c>
      <x:c r="AM5" s="13" t="str">
        <x:v>Continuous 7D end-effector and gripper delta action</x:v>
      </x:c>
      <x:c r="AN5" s="13" t="str">
        <x:v>SeaWave: eight skills, 139 object categories, four progressive-reasoning levels, and 3.4K instructions</x:v>
      </x:c>
      <x:c r="AO5" s="13" t="str">
        <x:v>MuJoCo simulated single-arm manipulator</x:v>
      </x:c>
      <x:c r="AP5" s="13" t="str">
        <x:v>Yes</x:v>
      </x:c>
      <x:c r="AQ5" s="13" t="str">
        <x:v>No</x:v>
      </x:c>
      <x:c r="AR5" s="13" t="str">
        <x:v>Jointly models action execution and resulting visual-scene change to improve language-grounded manipulation generalization.</x:v>
      </x:c>
      <x:c r="AS5" s="13" t="str">
        <x:v>Introduces the physically executed SeaWave benchmark with automated scene, instruction, and demonstration generation alongside the action-and-scene predictive model.</x:v>
      </x:c>
      <x:c r="AT5" s="13" t="str">
        <x:v>Evaluation is simulation-only, uses a single arm and rigid objects, and lacks force sensing and deformable-object manipulation.</x:v>
      </x:c>
      <x:c r="AU5" s="13" t="str">
        <x:v>Extend to dual-arm manipulation, soft objects, force sensing, and richer multimodal inputs.</x:v>
      </x:c>
      <x:c r="AV5" s="13" t="str">
        <x:v>The scene head predicts the next latent visual state conditioned on image history and the predicted action.</x:v>
      </x:c>
      <x:c r="AW5" s="13" t="str">
        <x:v>The world-model loss regularizes a direct action predictor; there is no search, model rollout, or candidate-plan scoring.</x:v>
      </x:c>
      <x:c r="AX5" s="13" t="str">
        <x:v>The benchmark tests progressively harder instructions for individual skills, not multi-stage long-horizon manipulation.</x:v>
      </x:c>
      <x:c r="AY5" s="13" t="str">
        <x:v>High</x:v>
      </x:c>
      <x:c r="AZ5" s="13" t="str">
        <x:v>Strict one-step latent world model, but exclude from explicit-planner counts and do not treat SeaWave reasoning levels as temporal horizon.</x:v>
      </x:c>
      <x:c r="BA5" s="13" t="str">
        <x:v>Surfer_ Progressive Reasoning with World Models for Robotic Manipulation.txt</x:v>
      </x:c>
    </x:row>
    <x:row r="6">
      <x:c r="A6" s="13" t="str">
        <x:v>batch_11</x:v>
      </x:c>
      <x:c r="B6" s="13" t="str">
        <x:v>B11-005</x:v>
      </x:c>
      <x:c r="C6" s="13" t="str">
        <x:v>Subspace-Decomposed JEPAs: Disentangling Progression and Content in Latent World Models</x:v>
      </x:c>
      <x:c r="D6" s="13" t="str">
        <x:v>Lucas Thil; Jesse Read; Rim Kaddah; Guillaume Doquet</x:v>
      </x:c>
      <x:c r="E6" s="13" t="n">
        <x:v>2026</x:v>
      </x:c>
      <x:c r="F6" s="13" t="str">
        <x:v>First public appearance: arXiv:2605.31111 on 29 May 2026</x:v>
      </x:c>
      <x:c r="G6" s="13" t="str">
        <x:v>arXiv</x:v>
      </x:c>
      <x:c r="H6" s="13" t="str">
        <x:v>Preprint</x:v>
      </x:c>
      <x:c r="I6" s="13" t="str">
        <x:v>Method</x:v>
      </x:c>
      <x:c r="J6" s="13" t="str"/>
      <x:c r="K6" s="13" t="str">
        <x:v>arXiv:2605.31111</x:v>
      </x:c>
      <x:c r="L6" s="13" t="str">
        <x:v>Yes</x:v>
      </x:c>
      <x:c r="M6" s="13" t="str">
        <x:v>Code is publicly released at the SD-JEPA repository.</x:v>
      </x:c>
      <x:c r="N6" s="13" t="str">
        <x:v>General Control; Manipulation; Navigation; Representation Learning</x:v>
      </x:c>
      <x:c r="O6" s="13" t="str">
        <x:v>World Modeling; Planning; Interpretable Latent Representation</x:v>
      </x:c>
      <x:c r="P6" s="13" t="str">
        <x:v>No</x:v>
      </x:c>
      <x:c r="Q6" s="13" t="str">
        <x:v>No</x:v>
      </x:c>
      <x:c r="R6" s="13" t="str">
        <x:v>No</x:v>
      </x:c>
      <x:c r="S6" s="13" t="str">
        <x:v>Yes</x:v>
      </x:c>
      <x:c r="T6" s="13" t="str">
        <x:v>JEPA</x:v>
      </x:c>
      <x:c r="U6" s="13" t="str">
        <x:v>Extends LEWM by splitting its learned latent into orthogonal progression and content subspaces, with temporal triplet ordering on progression and SIGReg anti-collapse on content.</x:v>
      </x:c>
      <x:c r="V6" s="13" t="str">
        <x:v>Latent</x:v>
      </x:c>
      <x:c r="W6" s="13" t="str">
        <x:v>Next latent state</x:v>
      </x:c>
      <x:c r="X6" s="13" t="str">
        <x:v>Yes</x:v>
      </x:c>
      <x:c r="Y6" s="13" t="str">
        <x:v>No</x:v>
      </x:c>
      <x:c r="Z6" s="13" t="str">
        <x:v>Yes</x:v>
      </x:c>
      <x:c r="AA6" s="13" t="str">
        <x:v>MPC; Cross-Entropy Method</x:v>
      </x:c>
      <x:c r="AB6" s="13" t="str">
        <x:v>Decomposed JEPA latent with content and progression costs</x:v>
      </x:c>
      <x:c r="AC6" s="13" t="str">
        <x:v>Medium</x:v>
      </x:c>
      <x:c r="AD6" s="13" t="str">
        <x:v>CEM plans five frame-skipped actions with frame-skip five, corresponding to 25 environment steps, and replans throughout a 50-step evaluation.</x:v>
      </x:c>
      <x:c r="AE6" s="13" t="str">
        <x:v>No</x:v>
      </x:c>
      <x:c r="AF6" s="13" t="str">
        <x:v>Yes</x:v>
      </x:c>
      <x:c r="AG6" s="13" t="str">
        <x:v>Full End-to-End Planner</x:v>
      </x:c>
      <x:c r="AH6" s="13" t="str">
        <x:v>Self-Supervised Latent World-Model Learning; Temporal Contrastive Learning</x:v>
      </x:c>
      <x:c r="AI6" s="13" t="str">
        <x:v>None — actions are selected by CEM-MPC</x:v>
      </x:c>
      <x:c r="AJ6" s="13" t="str">
        <x:v>No external foundation-model pretraining; inherits the end-to-end LEWM encoder-predictor architecture</x:v>
      </x:c>
      <x:c r="AK6" s="13" t="str">
        <x:v>Pixel observations; actions; benchmark-specific state information</x:v>
      </x:c>
      <x:c r="AL6" s="13" t="str">
        <x:v>Goal observation encoded in latent space</x:v>
      </x:c>
      <x:c r="AM6" s="13" t="str">
        <x:v>Benchmark-specific continuous control actions</x:v>
      </x:c>
      <x:c r="AN6" s="13" t="str">
        <x:v>Two-Room; Reacher; Push-T; OGBench-Cube</x:v>
      </x:c>
      <x:c r="AO6" s="13" t="str">
        <x:v>Simulation-only benchmark agents</x:v>
      </x:c>
      <x:c r="AP6" s="13" t="str">
        <x:v>Yes</x:v>
      </x:c>
      <x:c r="AQ6" s="13" t="str">
        <x:v>No</x:v>
      </x:c>
      <x:c r="AR6" s="13" t="str">
        <x:v>Separates task progression from content in a JEPA latent and demonstrates that the progression subspace improves planning and provides an interpretable phase coordinate.</x:v>
      </x:c>
      <x:c r="AS6" s="13" t="str">
        <x:v>Uses disjoint anti-collapse objectives on orthogonal subspaces and exposes a signed angular progression signal that tracks progress, regression, and semantic perturbations.</x:v>
      </x:c>
      <x:c r="AT6" s="13" t="str">
        <x:v>The optimal progression dimension is environment-specific, planning gains are task-dependent, cosine geometry is hand selected, and the orthogonal decomposition is fixed rather than learned.</x:v>
      </x:c>
      <x:c r="AU6" s="13" t="str">
        <x:v>Learn the orthogonal decomposition, explore alternative metrics and progression readouts, and investigate broader geometric diagnostics and planning costs.</x:v>
      </x:c>
      <x:c r="AV6" s="13" t="str">
        <x:v>An action-conditioned predictor forecasts the next JEPA latent from observation history and actions.</x:v>
      </x:c>
      <x:c r="AW6" s="13" t="str">
        <x:v>CEM samples and scores action sequences using predicted latent distance to the goal, with online receding-horizon replanning.</x:v>
      </x:c>
      <x:c r="AX6" s="13" t="str">
        <x:v>The explicit horizon is 25 environment steps; the benchmark tasks are local control rather than task-level long-horizon manipulation.</x:v>
      </x:c>
      <x:c r="AY6" s="13" t="str">
        <x:v>High</x:v>
      </x:c>
      <x:c r="AZ6" s="13" t="str">
        <x:v>Core JEPA world-model and planning paper. Classify planning_horizon as Medium while long_horizon remains No.</x:v>
      </x:c>
      <x:c r="BA6" s="13" t="str">
        <x:v>Subspace-Decomposed JEPAs_ Disentangling Progression and Content in Latent World Models.txt</x:v>
      </x:c>
    </x:row>
  </x:sheetData>
  <x:pageMargins left="0.7" right="0.7" top="0.75" bottom="0.75" header="0.3" footer="0.3"/>
  <x:tableParts count="1">
    <x:tablePart xmlns:r="http://schemas.openxmlformats.org/officeDocument/2006/relationships" r:id="Rd6c23b3ff4cd4d0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9" hidden="0" customWidth="1"/>
    <x:col min="3" max="3" width="52" hidden="0" customWidth="1"/>
    <x:col min="4" max="4" width="56" hidden="0" customWidth="1"/>
  </x:cols>
  <x:sheetData>
    <x:row r="1">
      <x:c r="A1" s="20" t="str">
        <x:v>Field</x:v>
      </x:c>
      <x:c r="B1" s="20" t="str">
        <x:v>Definition</x:v>
      </x:c>
      <x:c r="C1" s="20" t="str">
        <x:v>Allowed / normalized values</x:v>
      </x:c>
      <x:c r="D1" s="20" t="str">
        <x:v>Annotation rule</x:v>
      </x:c>
    </x:row>
    <x:row r="2">
      <x:c r="A2" s="13" t="str">
        <x:v>batch_id</x:v>
      </x:c>
      <x:c r="B2" s="13" t="str">
        <x:v>Annotation batch identifier</x:v>
      </x:c>
      <x:c r="C2" s="13" t="str">
        <x:v>batch_01; batch_02; …</x:v>
      </x:c>
      <x:c r="D2" s="13" t="str">
        <x:v>Used for provenance and rollback.</x:v>
      </x:c>
    </x:row>
    <x:row r="3">
      <x:c r="A3" s="13" t="str">
        <x:v>paper_id</x:v>
      </x:c>
      <x:c r="B3" s="13" t="str">
        <x:v>Stable internal identifier</x:v>
      </x:c>
      <x:c r="C3" s="13" t="str">
        <x:v>String</x:v>
      </x:c>
      <x:c r="D3" s="13" t="str">
        <x:v>Unique across all batches.</x:v>
      </x:c>
    </x:row>
    <x:row r="4">
      <x:c r="A4" s="13" t="str">
        <x:v>year</x:v>
      </x:c>
      <x:c r="B4" s="13" t="str">
        <x:v>First public appearance year</x:v>
      </x:c>
      <x:c r="C4" s="13" t="str">
        <x:v>Integer</x:v>
      </x:c>
      <x:c r="D4" s="13" t="str">
        <x:v>Use first public preprint or online publication; preserve later revision or journal-volume year in year_basis.</x:v>
      </x:c>
    </x:row>
    <x:row r="5">
      <x:c r="A5" s="13" t="str">
        <x:v>paper_type</x:v>
      </x:c>
      <x:c r="B5" s="13" t="str">
        <x:v>Nature of the paper</x:v>
      </x:c>
      <x:c r="C5" s="13" t="str">
        <x:v>Method; Survey; Benchmark; Dataset</x:v>
      </x:c>
      <x:c r="D5" s="13" t="str">
        <x:v>Non-method papers are excluded from proposed-method counts.</x:v>
      </x:c>
    </x:row>
    <x:row r="6">
      <x:c r="A6" s="13" t="str">
        <x:v>long_horizon</x:v>
      </x:c>
      <x:c r="B6" s="13" t="str">
        <x:v>Whether an evaluated task is temporally extended</x:v>
      </x:c>
      <x:c r="C6" s="13" t="str">
        <x:v>Yes; No; No / Unclear; N/A</x:v>
      </x:c>
      <x:c r="D6" s="13" t="str">
        <x:v>Language or reasoning difficulty levels are not temporal horizon.</x:v>
      </x:c>
    </x:row>
    <x:row r="7">
      <x:c r="A7" s="13" t="str">
        <x:v>uses_world_model</x:v>
      </x:c>
      <x:c r="B7" s="13" t="str">
        <x:v>Whether the downstream method predicts environment evolution</x:v>
      </x:c>
      <x:c r="C7" s="13" t="str">
        <x:v>Yes; No; Ambiguous; N/A</x:v>
      </x:c>
      <x:c r="D7" s="13" t="str">
        <x:v>Latent next-state prediction counts even when used only as an auxiliary policy objective.</x:v>
      </x:c>
    </x:row>
    <x:row r="8">
      <x:c r="A8" s="13" t="str">
        <x:v>world_model_family</x:v>
      </x:c>
      <x:c r="B8" s="13" t="str">
        <x:v>Primary normalized world-model family</x:v>
      </x:c>
      <x:c r="C8" s="13" t="str">
        <x:v>JEPA; Latent Dynamics; RSSM; Diffusion; Transformer; VAE; Object-Centric; Hybrid; None; N/A</x:v>
      </x:c>
      <x:c r="D8" s="13" t="str"/>
    </x:row>
    <x:row r="9">
      <x:c r="A9" s="13" t="str">
        <x:v>uses_planning</x:v>
      </x:c>
      <x:c r="B9" s="13" t="str">
        <x:v>Whether behavior is explicitly optimized through search, rollout, or structured decomposition</x:v>
      </x:c>
      <x:c r="C9" s="13" t="str">
        <x:v>Yes; No; N/A</x:v>
      </x:c>
      <x:c r="D9" s="13" t="str">
        <x:v>Auxiliary future prediction feeding a direct action policy is No.</x:v>
      </x:c>
    </x:row>
    <x:row r="10">
      <x:c r="A10" s="13" t="str">
        <x:v>planning_method</x:v>
      </x:c>
      <x:c r="B10" s="13" t="str">
        <x:v>Primary normalized planning mechanism</x:v>
      </x:c>
      <x:c r="C10" s="13" t="str">
        <x:v>MPC; MPPI; CEM; MCTS; MIP; Bayesian Optimization; A*; Graph Search; Hierarchical; Language Planner; None; N/A</x:v>
      </x:c>
      <x:c r="D10" s="13" t="str"/>
    </x:row>
    <x:row r="11">
      <x:c r="A11" s="13" t="str">
        <x:v>planning_horizon</x:v>
      </x:c>
      <x:c r="B11" s="13" t="str">
        <x:v>Horizon of explicit planning</x:v>
      </x:c>
      <x:c r="C11" s="13" t="str">
        <x:v>None; Short; Medium; Long; N/A</x:v>
      </x:c>
      <x:c r="D11" s="13" t="str">
        <x:v>Convert frame-skipped plans to environment-step equivalents when possible.</x:v>
      </x:c>
    </x:row>
    <x:row r="12">
      <x:c r="A12" s="13" t="str">
        <x:v>planning_role</x:v>
      </x:c>
      <x:c r="B12" s="13" t="str">
        <x:v>Where planning or action generation occurs</x:v>
      </x:c>
      <x:c r="C12" s="13" t="str">
        <x:v>None; Local Controller; Skill Planner; High-Level Planner; Full End-to-End Planner; N/A</x:v>
      </x:c>
      <x:c r="D12" s="13" t="str"/>
    </x:row>
    <x:row r="13">
      <x:c r="A13" s="13" t="str">
        <x:v>replanning_online</x:v>
      </x:c>
      <x:c r="B13" s="13" t="str">
        <x:v>Whether actions or plans are refreshed from new observations</x:v>
      </x:c>
      <x:c r="C13" s="13" t="str">
        <x:v>Yes; No; No / Unclear; N/A; qualified text</x:v>
      </x:c>
      <x:c r="D13" s="13" t="str">
        <x:v>Direct policy refresh can be Yes while uses_planning is No.</x:v>
      </x:c>
    </x:row>
    <x:row r="14">
      <x:c r="A14" s="13" t="str">
        <x:v>confidence</x:v>
      </x:c>
      <x:c r="B14" s="13" t="str">
        <x:v>Confidence in the annotation row</x:v>
      </x:c>
      <x:c r="C14" s="13" t="str">
        <x:v>High; Medium; Low</x:v>
      </x:c>
      <x:c r="D14" s="13" t="str">
        <x:v>Put field-specific uncertainty in review_flags.</x:v>
      </x:c>
    </x:row>
    <x:row r="15">
      <x:c r="A15" s="13" t="str">
        <x:v>review_flags</x:v>
      </x:c>
      <x:c r="B15" s="13" t="str">
        <x:v>Scope and interpretation notes</x:v>
      </x:c>
      <x:c r="C15" s="13" t="str">
        <x:v>Free text</x:v>
      </x:c>
      <x:c r="D15" s="13" t="str">
        <x:v>Preserves distinctions between predictive training objectives and explicit planning.</x:v>
      </x:c>
    </x:row>
  </x:sheetData>
  <x:pageMargins left="0.7" right="0.7" top="0.75" bottom="0.75" header="0.3" footer="0.3"/>
  <x:tableParts count="1">
    <x:tablePart xmlns:r="http://schemas.openxmlformats.org/officeDocument/2006/relationships" r:id="R3cb6c4bb41f44eff"/>
  </x:tableParts>
</x:worksheet>
</file>