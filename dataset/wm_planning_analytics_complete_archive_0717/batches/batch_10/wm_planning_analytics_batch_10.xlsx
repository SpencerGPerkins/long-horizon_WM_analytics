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bd3831f5a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59fbb56cce44674"/>
    <x:sheet xmlns:r="http://schemas.openxmlformats.org/officeDocument/2006/relationships" name="Annotations" sheetId="2" r:id="R8682bf6eaf024e77"/>
    <x:sheet xmlns:r="http://schemas.openxmlformats.org/officeDocument/2006/relationships" name="Taxonomy" sheetId="3" r:id="R5d199a9ea219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8b14ab27b45c5" /><Relationship Type="http://schemas.openxmlformats.org/officeDocument/2006/relationships/theme" Target="/xl/theme/theme1.xml" Id="Rfe89e16cae2d44fc" /><Relationship Type="http://schemas.openxmlformats.org/officeDocument/2006/relationships/sharedStrings" Target="/xl/sharedStrings.xml" Id="R3a3ad75b99404436" /><Relationship Type="http://schemas.openxmlformats.org/officeDocument/2006/relationships/worksheet" Target="/xl/worksheets/sheet1.xml" Id="R859fbb56cce44674" /><Relationship Type="http://schemas.openxmlformats.org/officeDocument/2006/relationships/worksheet" Target="/xl/worksheets/sheet2.xml" Id="R8682bf6eaf024e77" /><Relationship Type="http://schemas.openxmlformats.org/officeDocument/2006/relationships/worksheet" Target="/xl/worksheets/sheet3.xml" Id="R5d199a9ea21949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48b329849444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'Dashboard'!$B$19:$B$21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'Dashboard'!$C$19:$C$21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'Dashboard'!$D$19:$D$21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Datasets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'Dashboard'!$E$19:$E$21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48b329849444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10Annotations" displayName="Batch10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10AnnotationsTaxonomy" displayName="Batch10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ad889898c40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eb6b54000f43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f17c60f8f34794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5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WM &amp; Planning Analytics — Batch 10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10 interpretation notes</x:v>
      </x:c>
      <x:c r="E4" s="48"/>
      <x:c r="F4" s="48"/>
      <x:c r="G4" s="48"/>
      <x:c r="H4" s="48"/>
    </x:row>
    <x:row r="5">
      <x:c r="A5" s="35" t="str">
        <x:v>Method papers</x:v>
      </x:c>
      <x:c r="B5" s="43" t="n">
        <x:f>COUNTIF(Annotations!$I:$I,"Method")</x:f>
        <x:v>2</x:v>
      </x:c>
      <x:c r="D5" s="52" t="str">
        <x:v>• The surgical paper uses explicit FEM simulation and Bayesian optimization, but no learned world model.
• RT-1 is a direct language-conditioned policy; its 50-stage results use the external SayCan planner.
• The domain-randomization review is retained for sim-to-real methods rather than architecture counts.
• The robotic-world-model review uses a broader shared-state definition than the strict predictive definition used for method rows.
• The soft-robotics review is retained as peripheral deformable-system context.</x:v>
      </x:c>
      <x:c r="E5" s="52"/>
      <x:c r="F5" s="52"/>
      <x:c r="G5" s="52"/>
      <x:c r="H5" s="52"/>
    </x:row>
    <x:row r="6">
      <x:c r="A6" s="35" t="str">
        <x:v>Survey papers</x:v>
      </x:c>
      <x:c r="B6" s="43" t="n">
        <x:f>COUNTIF(Annotations!$I:$I,"Survey")</x:f>
        <x:v>3</x:v>
      </x:c>
      <x:c r="D6" s="52"/>
      <x:c r="E6" s="52"/>
      <x:c r="F6" s="52"/>
      <x:c r="G6" s="52"/>
      <x:c r="H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  <x:c r="H7" s="52"/>
    </x:row>
    <x:row r="8">
      <x:c r="A8" s="35" t="str">
        <x:v>Dataset papers</x:v>
      </x:c>
      <x:c r="B8" s="43" t="n">
        <x:f>COUNTIF(Annotations!$I:$I,"Dataset")</x:f>
        <x:v>0</x:v>
      </x:c>
      <x:c r="D8" s="52"/>
      <x:c r="E8" s="52"/>
      <x:c r="F8" s="52"/>
      <x:c r="G8" s="52"/>
      <x:c r="H8" s="52"/>
    </x:row>
    <x:row r="9">
      <x:c r="A9" s="35" t="str">
        <x:v>Method papers using world models</x:v>
      </x:c>
      <x:c r="B9" s="43" t="n">
        <x:f>COUNTIFS(Annotations!$I:$I,"Method",Annotations!$S:$S,"Yes")</x:f>
        <x:v>0</x:v>
      </x:c>
      <x:c r="D9" s="52"/>
      <x:c r="E9" s="52"/>
      <x:c r="F9" s="52"/>
      <x:c r="G9" s="52"/>
      <x:c r="H9" s="52"/>
    </x:row>
    <x:row r="10">
      <x:c r="A10" s="35" t="str">
        <x:v>Definition-sensitive WM papers</x:v>
      </x:c>
      <x:c r="B10" s="43" t="n">
        <x:f>COUNTIFS(Annotations!$I:$I,"Method",Annotations!$S:$S,"Ambiguous")</x:f>
        <x:v>0</x:v>
      </x:c>
      <x:c r="D10" s="52"/>
      <x:c r="E10" s="52"/>
      <x:c r="F10" s="52"/>
      <x:c r="G10" s="52"/>
      <x:c r="H10" s="52"/>
    </x:row>
    <x:row r="11">
      <x:c r="A11" s="35" t="str">
        <x:v>Method papers with explicit planning</x:v>
      </x:c>
      <x:c r="B11" s="43" t="n">
        <x:f>COUNTIFS(Annotations!$I:$I,"Method",Annotations!$Z:$Z,"Yes")</x:f>
        <x:v>1</x:v>
      </x:c>
      <x:c r="D11" s="52"/>
      <x:c r="E11" s="52"/>
      <x:c r="F11" s="52"/>
      <x:c r="G11" s="52"/>
      <x:c r="H11" s="52"/>
    </x:row>
    <x:row r="12">
      <x:c r="A12" s="35" t="str">
        <x:v>Long-horizon method papers</x:v>
      </x:c>
      <x:c r="B12" s="43" t="n">
        <x:f>COUNTIFS(Annotations!$I:$I,"Method",Annotations!$P:$P,"Yes")</x:f>
        <x:v>1</x:v>
      </x:c>
      <x:c r="D12" s="52"/>
      <x:c r="E12" s="52"/>
      <x:c r="F12" s="52"/>
      <x:c r="G12" s="52"/>
      <x:c r="H12" s="52"/>
    </x:row>
    <x:row r="13">
      <x:c r="A13" s="35" t="str">
        <x:v>Long-horizon benchmark papers</x:v>
      </x:c>
      <x:c r="B13" s="43" t="n">
        <x:f>COUNTIFS(Annotations!$I:$I,"Benchmark",Annotations!$P:$P,"Yes")</x:f>
        <x:v>0</x:v>
      </x:c>
    </x:row>
    <x:row r="14">
      <x:c r="A14" s="35" t="str">
        <x:v>Method papers with real-robot evaluation</x:v>
      </x:c>
      <x:c r="B14" s="43" t="n">
        <x:f>COUNTIFS(Annotations!$I:$I,"Method",Annotations!$AQ:$AQ,"Yes")</x:f>
        <x:v>2</x:v>
      </x:c>
    </x:row>
    <x:row r="15">
      <x:c r="A15" s="35" t="str">
        <x:v>High-confidence rows</x:v>
      </x:c>
      <x:c r="B15" s="43" t="n">
        <x:f>COUNTIF(Annotations!$AY:$AY,"High")</x:f>
        <x:v>5</x:v>
      </x:c>
    </x:row>
    <x:row r="18">
      <x:c r="A18" s="48" t="str">
        <x:v>Year</x:v>
      </x:c>
      <x:c r="B18" s="48" t="str">
        <x:v>Methods</x:v>
      </x:c>
      <x:c r="C18" s="48" t="str">
        <x:v>Surveys</x:v>
      </x:c>
      <x:c r="D18" s="48" t="str">
        <x:v>Benchmarks</x:v>
      </x:c>
      <x:c r="E18" s="48" t="str">
        <x:v>Datasets</x:v>
      </x:c>
    </x:row>
    <x:row r="19">
      <x:c r="A19" s="57" t="n">
        <x:v>2021</x:v>
      </x:c>
      <x:c r="B19" s="57" t="n">
        <x:f>COUNTIFS(Annotations!$E:$E,A19,Annotations!$I:$I,"Method")</x:f>
        <x:v>0</x:v>
      </x:c>
      <x:c r="C19" s="57" t="n">
        <x:f>COUNTIFS(Annotations!$E:$E,A19,Annotations!$I:$I,"Survey")</x:f>
        <x:v>1</x:v>
      </x:c>
      <x:c r="D19" s="57" t="n">
        <x:f>COUNTIFS(Annotations!$E:$E,A19,Annotations!$I:$I,"Benchmark")</x:f>
        <x:v>0</x:v>
      </x:c>
      <x:c r="E19" s="57" t="n">
        <x:f>COUNTIFS(Annotations!$E:$E,A19,Annotations!$I:$I,"Dataset")</x:f>
        <x:v>0</x:v>
      </x:c>
    </x:row>
    <x:row r="20">
      <x:c r="A20" s="57" t="n">
        <x:v>2022</x:v>
      </x:c>
      <x:c r="B20" s="57" t="n">
        <x:f>COUNTIFS(Annotations!$E:$E,A20,Annotations!$I:$I,"Method")</x:f>
        <x:v>1</x:v>
      </x:c>
      <x:c r="C20" s="57" t="n">
        <x:f>COUNTIFS(Annotations!$E:$E,A20,Annotations!$I:$I,"Survey")</x:f>
        <x:v>1</x:v>
      </x:c>
      <x:c r="D20" s="57" t="n">
        <x:f>COUNTIFS(Annotations!$E:$E,A20,Annotations!$I:$I,"Benchmark")</x:f>
        <x:v>0</x:v>
      </x:c>
      <x:c r="E20" s="57" t="n">
        <x:f>COUNTIFS(Annotations!$E:$E,A20,Annotations!$I:$I,"Dataset")</x:f>
        <x:v>0</x:v>
      </x:c>
    </x:row>
    <x:row r="21">
      <x:c r="A21" s="57" t="n">
        <x:v>2023</x:v>
      </x:c>
      <x:c r="B21" s="57" t="n">
        <x:f>COUNTIFS(Annotations!$E:$E,A21,Annotations!$I:$I,"Method")</x:f>
        <x:v>1</x:v>
      </x:c>
      <x:c r="C21" s="57" t="n">
        <x:f>COUNTIFS(Annotations!$E:$E,A21,Annotations!$I:$I,"Survey")</x:f>
        <x:v>1</x:v>
      </x:c>
      <x:c r="D21" s="57" t="n">
        <x:f>COUNTIFS(Annotations!$E:$E,A21,Annotations!$I:$I,"Benchmark")</x:f>
        <x:v>0</x:v>
      </x:c>
      <x:c r="E21" s="57" t="n">
        <x:f>COUNTIFS(Annotations!$E:$E,A21,Annotations!$I:$I,"Dataset")</x:f>
        <x:v>0</x:v>
      </x:c>
    </x:row>
    <x:row r="24">
      <x:c r="A24" s="48" t="str">
        <x:v>World-model status</x:v>
      </x:c>
      <x:c r="B24" s="48" t="str">
        <x:v>Method count</x:v>
      </x:c>
      <x:c r="C24" s="48" t="str">
        <x:v>Interpretation</x:v>
      </x:c>
    </x:row>
    <x:row r="25">
      <x:c r="A25" s="13" t="str">
        <x:v>Yes</x:v>
      </x:c>
      <x:c r="B25" s="13" t="n">
        <x:f>COUNTIFS(Annotations!$I:$I,"Method",Annotations!$S:$S,A25)</x:f>
        <x:v>0</x:v>
      </x:c>
      <x:c r="C25" s="13" t="str">
        <x:v>Strict predictive environment model</x:v>
      </x:c>
    </x:row>
    <x:row r="26">
      <x:c r="A26" s="13" t="str">
        <x:v>Ambiguous</x:v>
      </x:c>
      <x:c r="B26" s="13" t="n">
        <x:f>COUNTIFS(Annotations!$I:$I,"Method",Annotations!$S:$S,A26)</x:f>
        <x:v>0</x:v>
      </x:c>
      <x:c r="C26" s="13" t="str">
        <x:v>World-model terminology without explicit environment prediction</x:v>
      </x:c>
    </x:row>
    <x:row r="27">
      <x:c r="A27" s="13" t="str">
        <x:v>No</x:v>
      </x:c>
      <x:c r="B27" s="13" t="n">
        <x:f>COUNTIFS(Annotations!$I:$I,"Method",Annotations!$S:$S,A27)</x:f>
        <x:v>2</x:v>
      </x:c>
      <x:c r="C27" s="13" t="str">
        <x:v>No learned downstream predictive environment model</x:v>
      </x:c>
    </x:row>
  </x:sheetData>
  <x:mergeCells>
    <x:mergeCell ref="A1:I2"/>
    <x:mergeCell ref="D4:H4"/>
    <x:mergeCell ref="D5:H12"/>
  </x:mergeCells>
  <x:pageMargins left="0.7" right="0.7" top="0.75" bottom="0.75" header="0.3" footer="0.3"/>
  <x:drawing xmlns:r="http://schemas.openxmlformats.org/officeDocument/2006/relationships" r:id="R688ad889898c404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2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batch_10</x:v>
      </x:c>
      <x:c r="B2" s="13" t="str">
        <x:v>B10-001</x:v>
      </x:c>
      <x:c r="C2" s="13" t="str">
        <x:v>Sim-to-Real Surgical Robot Learning and Autonomous Planning for Internal Tissue Points Manipulation using Reinforcement Learning</x:v>
      </x:c>
      <x:c r="D2" s="13" t="str">
        <x:v>Yafei Ou; Mahdi Tavakoli</x:v>
      </x:c>
      <x:c r="E2" s="13" t="n">
        <x:v>2023</x:v>
      </x:c>
      <x:c r="F2" s="13" t="str">
        <x:v>Accepted by IEEE RA-L in February 2023; arXiv:2306.14085 v1 appeared 25 Jun 2023</x:v>
      </x:c>
      <x:c r="G2" s="13" t="str">
        <x:v>IEEE Robotics and Automation Letters</x:v>
      </x:c>
      <x:c r="H2" s="13" t="str">
        <x:v>Peer-reviewed journal article</x:v>
      </x:c>
      <x:c r="I2" s="13" t="str">
        <x:v>Method</x:v>
      </x:c>
      <x:c r="J2" s="13" t="str"/>
      <x:c r="K2" s="13" t="str">
        <x:v>10.1109/LRA.2023.3254860; arXiv:2306.14085</x:v>
      </x:c>
      <x:c r="L2" s="13" t="str">
        <x:v>Unknown</x:v>
      </x:c>
      <x:c r="M2" s="13" t="str">
        <x:v>No paper-specific code release was identified; the simulation environment is built with the open-source SOFA framework.</x:v>
      </x:c>
      <x:c r="N2" s="13" t="str">
        <x:v>Surgical Robotics; Deformable Tissue Manipulation; Dual-Arm Manipulation</x:v>
      </x:c>
      <x:c r="O2" s="13" t="str">
        <x:v>Sim-to-Real Policy Learning; Preoperative Planning; Deformable-Object Control</x:v>
      </x:c>
      <x:c r="P2" s="13" t="str">
        <x:v>No</x:v>
      </x:c>
      <x:c r="Q2" s="13" t="str">
        <x:v>No</x:v>
      </x:c>
      <x:c r="R2" s="13" t="str">
        <x:v>No</x:v>
      </x:c>
      <x:c r="S2" s="13" t="str">
        <x:v>No</x:v>
      </x:c>
      <x:c r="T2" s="13" t="str">
        <x:v>None</x:v>
      </x:c>
      <x:c r="U2" s="13" t="str">
        <x:v>N/A — the method uses an explicit FEM simulator for training and optimization rather than learning a predictive environment model.</x:v>
      </x:c>
      <x:c r="V2" s="13" t="str">
        <x:v>N/A</x:v>
      </x:c>
      <x:c r="W2" s="13" t="str">
        <x:v>N/A</x:v>
      </x:c>
      <x:c r="X2" s="13" t="str">
        <x:v>N/A</x:v>
      </x:c>
      <x:c r="Y2" s="13" t="str">
        <x:v>No</x:v>
      </x:c>
      <x:c r="Z2" s="13" t="str">
        <x:v>Yes</x:v>
      </x:c>
      <x:c r="AA2" s="13" t="str">
        <x:v>Bayesian Optimization; Preoperative Planning</x:v>
      </x:c>
      <x:c r="AB2" s="13" t="str">
        <x:v>Continuous grasp-point parameters evaluated through an FEM simulator and learned SAC policy</x:v>
      </x:c>
      <x:c r="AC2" s="13" t="str">
        <x:v>Short</x:v>
      </x:c>
      <x:c r="AD2" s="13" t="str">
        <x:v>Bayesian optimization selects one pair of grasping points before a single internal-tissue positioning episode.</x:v>
      </x:c>
      <x:c r="AE2" s="13" t="str">
        <x:v>Yes — a preoperative grasp-point planner configures a separate low-level manipulation policy</x:v>
      </x:c>
      <x:c r="AF2" s="13" t="str">
        <x:v>No — grasp points are optimized before execution</x:v>
      </x:c>
      <x:c r="AG2" s="13" t="str">
        <x:v>High-Level Planner</x:v>
      </x:c>
      <x:c r="AH2" s="13" t="str">
        <x:v>Sim-to-Real Deep Reinforcement Learning; Domain Randomization; Bayesian Optimization</x:v>
      </x:c>
      <x:c r="AI2" s="13" t="str">
        <x:v>Soft Actor-Critic</x:v>
      </x:c>
      <x:c r="AJ2" s="13" t="str">
        <x:v>Yes — the control policy is trained entirely in FEM simulation before real deployment</x:v>
      </x:c>
      <x:c r="AK2" s="13" t="str">
        <x:v>Stereo vision; controlled tissue-point positions; target positions</x:v>
      </x:c>
      <x:c r="AL2" s="13" t="str">
        <x:v>Desired Cartesian positions of internal tissue points</x:v>
      </x:c>
      <x:c r="AM2" s="13" t="str">
        <x:v>Continuous 2D Cartesian displacement commands for two tissue grasping points</x:v>
      </x:c>
      <x:c r="AN2" s="13" t="str">
        <x:v>Custom SOFA FEM indirect simultaneous positioning environment and real phantom-tissue experiments</x:v>
      </x:c>
      <x:c r="AO2" s="13" t="str">
        <x:v>Two da Vinci Research Kit Patient Side Manipulators with a stereo camera system</x:v>
      </x:c>
      <x:c r="AP2" s="13" t="str">
        <x:v>Yes</x:v>
      </x:c>
      <x:c r="AQ2" s="13" t="str">
        <x:v>Yes</x:v>
      </x:c>
      <x:c r="AR2" s="13" t="str">
        <x:v>Combines simulation-trained SAC control with Bayesian optimization of surgical grasp points for accurate sim-to-real internal tissue positioning.</x:v>
      </x:c>
      <x:c r="AS2" s="13" t="str">
        <x:v>Uses a state-augmented MDP to handle inconsistent simulation timing and reuses the learned policy as the evaluator for preoperative grasp-point planning.</x:v>
      </x:c>
      <x:c r="AT2" s="13" t="str">
        <x:v>Assumes a mostly flat, mildly warped tissue surface and visually detectable internal points; local force is not directly minimized, and training and planning remain computationally expensive.</x:v>
      </x:c>
      <x:c r="AU2" s="13" t="str">
        <x:v>Add realistic 3D tissue reconstruction and internal-point localization, optimize applied force, extend to breast brachytherapy, automate grasping, and accelerate simulation and optimization with GPU parallelism.</x:v>
      </x:c>
      <x:c r="AV2" s="13" t="str">
        <x:v>FEM supplies a hand-engineered physical simulator; no learned action-conditioned transition model is proposed.</x:v>
      </x:c>
      <x:c r="AW2" s="13" t="str">
        <x:v>Bayesian optimization evaluates candidate grasp-point pairs in simulation using the trained policy before real execution.</x:v>
      </x:c>
      <x:c r="AX2" s="13" t="str">
        <x:v>The task is one surgical positioning subtask with fixed grasp points, not a multi-stage long-horizon procedure.</x:v>
      </x:c>
      <x:c r="AY2" s="13" t="str">
        <x:v>High</x:v>
      </x:c>
      <x:c r="AZ2" s="13" t="str">
        <x:v>Explicit simulator-based planning, but not a learned world model. Count as planning while keeping planning_horizon Short.</x:v>
      </x:c>
      <x:c r="BA2" s="13" t="str">
        <x:v>Sim-to-Real Surgical Robot Learning and Autonomous Planning for Internal Tissue Points Manipulation Using Reinforcement .txt</x:v>
      </x:c>
    </x:row>
    <x:row r="3">
      <x:c r="A3" s="13" t="str">
        <x:v>batch_10</x:v>
      </x:c>
      <x:c r="B3" s="13" t="str">
        <x:v>B10-002</x:v>
      </x:c>
      <x:c r="C3" s="13" t="str">
        <x:v>RT-1: Robotics Transformer for Real-World Control at Scale</x:v>
      </x:c>
      <x:c r="D3" s="13" t="str">
        <x:v>Anthony Brohan; Noah Brown; Justice Carbajal; Yevgen Chebotar; Joseph Dabis; Chelsea Finn; Keerthana Gopalakrishnan; Karol Hausman; et al.</x:v>
      </x:c>
      <x:c r="E3" s="13" t="n">
        <x:v>2022</x:v>
      </x:c>
      <x:c r="F3" s="13" t="str">
        <x:v>First public appearance: arXiv:2212.06817 in Dec 2022; published at RSS 2023</x:v>
      </x:c>
      <x:c r="G3" s="13" t="str">
        <x:v>Robotics: Science and Systems (RSS)</x:v>
      </x:c>
      <x:c r="H3" s="13" t="str">
        <x:v>Peer-reviewed conference article</x:v>
      </x:c>
      <x:c r="I3" s="13" t="str">
        <x:v>Method</x:v>
      </x:c>
      <x:c r="J3" s="13" t="str"/>
      <x:c r="K3" s="13" t="str">
        <x:v>arXiv:2212.06817; RSS 2023</x:v>
      </x:c>
      <x:c r="L3" s="13" t="str">
        <x:v>Yes</x:v>
      </x:c>
      <x:c r="M3" s="13" t="str">
        <x:v>The authors release model code through the Robotics Transformer repository and provide a public project website.</x:v>
      </x:c>
      <x:c r="N3" s="13" t="str">
        <x:v>Mobile Manipulation; Generalist Robot Policies; Real-World Control</x:v>
      </x:c>
      <x:c r="O3" s="13" t="str">
        <x:v>Policy Learning; Scaling; Generalization; Language-Conditioned Control</x:v>
      </x:c>
      <x:c r="P3" s="13" t="str">
        <x:v>Yes</x:v>
      </x:c>
      <x:c r="Q3" s="13" t="str">
        <x:v>Yes</x:v>
      </x:c>
      <x:c r="R3" s="13" t="str">
        <x:v>No</x:v>
      </x:c>
      <x:c r="S3" s="13" t="str">
        <x:v>No</x:v>
      </x:c>
      <x:c r="T3" s="13" t="str">
        <x:v>None</x:v>
      </x:c>
      <x:c r="U3" s="13" t="str">
        <x:v>N/A — RT-1 directly maps image history and a language instruction to tokenized robot actions.</x:v>
      </x:c>
      <x:c r="V3" s="13" t="str">
        <x:v>N/A</x:v>
      </x:c>
      <x:c r="W3" s="13" t="str">
        <x:v>Next discretized robot action</x:v>
      </x:c>
      <x:c r="X3" s="13" t="str">
        <x:v>No</x:v>
      </x:c>
      <x:c r="Y3" s="13" t="str">
        <x:v>No</x:v>
      </x:c>
      <x:c r="Z3" s="13" t="str">
        <x:v>No</x:v>
      </x:c>
      <x:c r="AA3" s="13" t="str">
        <x:v>None — direct closed-loop policy inference</x:v>
      </x:c>
      <x:c r="AB3" s="13" t="str">
        <x:v>N/A</x:v>
      </x:c>
      <x:c r="AC3" s="13" t="str">
        <x:v>None</x:v>
      </x:c>
      <x:c r="AD3" s="13" t="str">
        <x:v>Long-horizon execution is demonstrated when RT-1 is used as the low-level skill policy inside the external SayCan planner, including tasks of up to 50 stages.</x:v>
      </x:c>
      <x:c r="AE3" s="13" t="str">
        <x:v>No — RT-1 itself is the low-level policy rather than the SayCan planner</x:v>
      </x:c>
      <x:c r="AF3" s="13" t="str">
        <x:v>Yes — actions are regenerated from a six-image history and language instruction at approximately 3 Hz</x:v>
      </x:c>
      <x:c r="AG3" s="13" t="str">
        <x:v>Local Controller</x:v>
      </x:c>
      <x:c r="AH3" s="13" t="str">
        <x:v>Large-Scale Multitask Imitation Learning; Cross-Domain Data Absorption</x:v>
      </x:c>
      <x:c r="AI3" s="13" t="str">
        <x:v>Robotics Transformer; Tokenized Behavior-Cloning Policy</x:v>
      </x:c>
      <x:c r="AJ3" s="13" t="str">
        <x:v>Yes — trained on approximately 130,000 real-robot episodes spanning more than 700 tasks</x:v>
      </x:c>
      <x:c r="AK3" s="13" t="str">
        <x:v>History of six RGB images; natural-language instruction</x:v>
      </x:c>
      <x:c r="AL3" s="13" t="str">
        <x:v>Natural-language instruction</x:v>
      </x:c>
      <x:c r="AM3" s="13" t="str">
        <x:v>Eleven discretized outputs: six end-effector motions, gripper opening, three base motions, and an arm/base/terminate mode</x:v>
      </x:c>
      <x:c r="AN3" s="13" t="str">
        <x:v>More than 700 real-world tasks, 3,000 evaluation trials, office-kitchen generalization, simulation-data absorption, and SayCan long-horizon tasks</x:v>
      </x:c>
      <x:c r="AO3" s="13" t="str">
        <x:v>Fleet of 13 Everyday Robots mobile manipulators</x:v>
      </x:c>
      <x:c r="AP3" s="13" t="str">
        <x:v>Yes — simulation data are incorporated in data-absorption experiments</x:v>
      </x:c>
      <x:c r="AQ3" s="13" t="str">
        <x:v>Yes</x:v>
      </x:c>
      <x:c r="AR3" s="13" t="str">
        <x:v>Introduces an efficient high-capacity transformer policy trained at large real-robot scale and demonstrates strong task, object, environment, and data-source generalization.</x:v>
      </x:c>
      <x:c r="AS3" s="13" t="str">
        <x:v>Combines language-conditioned FiLM vision encoding, TokenLearner compression, and a decoder-only transformer to run a 35M-parameter policy in real time.</x:v>
      </x:c>
      <x:c r="AT3" s="13" t="str">
        <x:v>Imitation learning cannot exceed demonstrator quality; novel instructions must recombine seen concepts, evaluated environments remain similar to training kitchens, and the manipulation tasks are not highly dexterous.</x:v>
      </x:c>
      <x:c r="AU3" s="13" t="str">
        <x:v>Expand to more diverse environments, genuinely novel motions, broader and more dexterous instruction sets, and additional heterogeneous data sources.</x:v>
      </x:c>
      <x:c r="AV3" s="13" t="str">
        <x:v>The transformer directly outputs action tokens and does not predict future states, observations, rewards, or dynamics.</x:v>
      </x:c>
      <x:c r="AW3" s="13" t="str">
        <x:v>RT-1 performs low-level control; the external SayCan framework supplies long-horizon skill selection.</x:v>
      </x:c>
      <x:c r="AX3" s="13" t="str">
        <x:v>RT-1 enables SayCan executions of up to 50 stages, so task-level long_horizon is Yes while planning_horizon remains None.</x:v>
      </x:c>
      <x:c r="AY3" s="13" t="str">
        <x:v>High</x:v>
      </x:c>
      <x:c r="AZ3" s="13" t="str">
        <x:v>Core generalist-policy baseline. Long-horizon capability reflects composition by SayCan, not planning inside RT-1.</x:v>
      </x:c>
      <x:c r="BA3" s="13" t="str">
        <x:v>RT-1_ Robotics Transformer for Real-World Control at Scale.txt</x:v>
      </x:c>
    </x:row>
    <x:row r="4">
      <x:c r="A4" s="13" t="str">
        <x:v>batch_10</x:v>
      </x:c>
      <x:c r="B4" s="13" t="str">
        <x:v>B10-003</x:v>
      </x:c>
      <x:c r="C4" s="13" t="str">
        <x:v>Robot Learning From Randomized Simulations: A Review</x:v>
      </x:c>
      <x:c r="D4" s="13" t="str">
        <x:v>Fabio Muratore; Fabio Ramos; Greg Turk; Wenhao Yu; Michael Gienger; Jan Peters</x:v>
      </x:c>
      <x:c r="E4" s="13" t="n">
        <x:v>2022</x:v>
      </x:c>
      <x:c r="F4" s="13" t="str">
        <x:v>Published 11 Apr 2022</x:v>
      </x:c>
      <x:c r="G4" s="13" t="str">
        <x:v>Frontiers in Robotics and AI</x:v>
      </x:c>
      <x:c r="H4" s="13" t="str">
        <x:v>Peer-reviewed review article</x:v>
      </x:c>
      <x:c r="I4" s="13" t="str">
        <x:v>Survey</x:v>
      </x:c>
      <x:c r="J4" s="13" t="str"/>
      <x:c r="K4" s="13" t="str">
        <x:v>10.3389/frobt.2022.799893</x:v>
      </x:c>
      <x:c r="L4" s="13" t="str">
        <x:v>Unknown</x:v>
      </x:c>
      <x:c r="M4" s="13" t="str">
        <x:v>The article is open access, but no single companion implementation is associated with the broad review.</x:v>
      </x:c>
      <x:c r="N4" s="13" t="str">
        <x:v>General Robotics; Sim-to-Real Learning</x:v>
      </x:c>
      <x:c r="O4" s="13" t="str">
        <x:v>Survey; Domain Randomization; Simulation-to-Real Transfer</x:v>
      </x:c>
      <x:c r="P4" s="13" t="str">
        <x:v>N/A</x:v>
      </x:c>
      <x:c r="Q4" s="13" t="str">
        <x:v>N/A</x:v>
      </x:c>
      <x:c r="R4" s="13" t="str">
        <x:v>N/A</x:v>
      </x:c>
      <x:c r="S4" s="13" t="str">
        <x:v>N/A — reviews parameterized simulators and learned models but does not propose one world model</x:v>
      </x:c>
      <x:c r="T4" s="13" t="str">
        <x:v>N/A</x:v>
      </x:c>
      <x:c r="U4" s="13" t="str">
        <x:v>Reviews randomized physics simulators, parameter distributions, system identification, adaptive randomization, and related robust-learning methods.</x:v>
      </x:c>
      <x:c r="V4" s="13" t="str">
        <x:v>N/A</x:v>
      </x:c>
      <x:c r="W4" s="13" t="str">
        <x:v>N/A</x:v>
      </x:c>
      <x:c r="X4" s="13" t="str">
        <x:v>N/A</x:v>
      </x:c>
      <x:c r="Y4" s="13" t="str">
        <x:v>N/A</x:v>
      </x:c>
      <x:c r="Z4" s="13" t="str">
        <x:v>N/A — policy search and model-based methods are reviewed among broader sim-to-real approaches</x:v>
      </x:c>
      <x:c r="AA4" s="13" t="str">
        <x:v>N/A</x:v>
      </x:c>
      <x:c r="AB4" s="13" t="str">
        <x:v>N/A</x:v>
      </x:c>
      <x:c r="AC4" s="13" t="str">
        <x:v>N/A</x:v>
      </x:c>
      <x:c r="AD4" s="13" t="str">
        <x:v>No single planner or normalized horizon is evaluated.</x:v>
      </x:c>
      <x:c r="AE4" s="13" t="str">
        <x:v>N/A</x:v>
      </x:c>
      <x:c r="AF4" s="13" t="str">
        <x:v>N/A</x:v>
      </x:c>
      <x:c r="AG4" s="13" t="str">
        <x:v>N/A</x:v>
      </x:c>
      <x:c r="AH4" s="13" t="str">
        <x:v>N/A</x:v>
      </x:c>
      <x:c r="AI4" s="13" t="str">
        <x:v>N/A</x:v>
      </x:c>
      <x:c r="AJ4" s="13" t="str">
        <x:v>N/A</x:v>
      </x:c>
      <x:c r="AK4" s="13" t="str">
        <x:v>Multiple</x:v>
      </x:c>
      <x:c r="AL4" s="13" t="str">
        <x:v>Multiple task-specific objectives</x:v>
      </x:c>
      <x:c r="AM4" s="13" t="str">
        <x:v>Multiple</x:v>
      </x:c>
      <x:c r="AN4" s="13" t="str">
        <x:v>Multiple manipulation, locomotion, navigation, drone, and in-hand sim-to-real studies</x:v>
      </x:c>
      <x:c r="AO4" s="13" t="str">
        <x:v>Multiple</x:v>
      </x:c>
      <x:c r="AP4" s="13" t="str">
        <x:v>Both / Survey</x:v>
      </x:c>
      <x:c r="AQ4" s="13" t="str">
        <x:v>Both / Survey</x:v>
      </x:c>
      <x:c r="AR4" s="13" t="str">
        <x:v>Provides a comprehensive mathematical and practical review of domain randomization and learning robot policies from randomized simulations.</x:v>
      </x:c>
      <x:c r="AS4" s="13" t="str">
        <x:v>Introduces a domain-randomization taxonomy and connects sim-to-real practice with robust optimization, Bayesian inference, system identification, and policy search.</x:v>
      </x:c>
      <x:c r="AT4" s="13" t="str">
        <x:v>The reviewed field suffers from labor-intensive simulator construction, incomplete reporting of randomization choices, costly real-world validation, and uncertain transferability estimates.</x:v>
      </x:c>
      <x:c r="AU4" s="13" t="str">
        <x:v>Automate real-to-sim-to-real pipelines, improve adaptive and multi-fidelity randomization, develop stronger transfer metrics, and combine safe real-world adaptation with reusable simulation knowledge.</x:v>
      </x:c>
      <x:c r="AV4" s="13" t="str">
        <x:v>Simulators are parameterized generative models, but this review is not a proposed predictive world-model system.</x:v>
      </x:c>
      <x:c r="AW4" s="13" t="str">
        <x:v>The survey covers RL, policy search, model learning, and simulation optimization rather than one planning algorithm.</x:v>
      </x:c>
      <x:c r="AX4" s="13" t="str">
        <x:v>Planning horizon is not a paper-level variable in this survey.</x:v>
      </x:c>
      <x:c r="AY4" s="13" t="str">
        <x:v>High</x:v>
      </x:c>
      <x:c r="AZ4" s="13" t="str">
        <x:v>Supporting sim-to-real survey; retain for domain-randomization and simulation-method analyses, but exclude from method and world-model counts.</x:v>
      </x:c>
      <x:c r="BA4" s="13" t="str">
        <x:v>Robot Learning From Randomized Simulations_ A Review.txt</x:v>
      </x:c>
    </x:row>
    <x:row r="5">
      <x:c r="A5" s="13" t="str">
        <x:v>batch_10</x:v>
      </x:c>
      <x:c r="B5" s="13" t="str">
        <x:v>B10-004</x:v>
      </x:c>
      <x:c r="C5" s="13" t="str">
        <x:v>Robotic world models—conceptualization, review, and engineering best practices</x:v>
      </x:c>
      <x:c r="D5" s="13" t="str">
        <x:v>Ryo Sakagami; Florian S. Lay; Andreas Dömel; Martin J. Schuster; Alin Albu-Schäffer; Freek Stulp</x:v>
      </x:c>
      <x:c r="E5" s="13" t="n">
        <x:v>2023</x:v>
      </x:c>
      <x:c r="F5" s="13" t="str">
        <x:v>Published 2 Nov 2023</x:v>
      </x:c>
      <x:c r="G5" s="13" t="str">
        <x:v>Frontiers in Robotics and AI</x:v>
      </x:c>
      <x:c r="H5" s="13" t="str">
        <x:v>Peer-reviewed review article</x:v>
      </x:c>
      <x:c r="I5" s="13" t="str">
        <x:v>Survey</x:v>
      </x:c>
      <x:c r="J5" s="13" t="str"/>
      <x:c r="K5" s="13" t="str">
        <x:v>10.3389/frobt.2023.1253049</x:v>
      </x:c>
      <x:c r="L5" s="13" t="str">
        <x:v>Unknown</x:v>
      </x:c>
      <x:c r="M5" s="13" t="str">
        <x:v>The article is open access, but no single codebase accompanies this conceptual and engineering review.</x:v>
      </x:c>
      <x:c r="N5" s="13" t="str">
        <x:v>General Robotics; Software Architecture; World Modeling</x:v>
      </x:c>
      <x:c r="O5" s="13" t="str">
        <x:v>Survey; World-Model Conceptualization; Engineering Best Practices</x:v>
      </x:c>
      <x:c r="P5" s="13" t="str">
        <x:v>N/A</x:v>
      </x:c>
      <x:c r="Q5" s="13" t="str">
        <x:v>N/A</x:v>
      </x:c>
      <x:c r="R5" s="13" t="str">
        <x:v>N/A</x:v>
      </x:c>
      <x:c r="S5" s="13" t="str">
        <x:v>N/A — the paper reviews and defines multiple meanings of robotic world models</x:v>
      </x:c>
      <x:c r="T5" s="13" t="str">
        <x:v>N/A — classical shared-state architectures and predictive neural world models are both reviewed</x:v>
      </x:c>
      <x:c r="U5" s="13" t="str">
        <x:v>Defines a world model through its boundary, internal state, and operations, emphasizing information shared among sensing, planning, and acting components.</x:v>
      </x:c>
      <x:c r="V5" s="13" t="str">
        <x:v>N/A</x:v>
      </x:c>
      <x:c r="W5" s="13" t="str">
        <x:v>N/A</x:v>
      </x:c>
      <x:c r="X5" s="13" t="str">
        <x:v>N/A</x:v>
      </x:c>
      <x:c r="Y5" s="13" t="str">
        <x:v>N/A</x:v>
      </x:c>
      <x:c r="Z5" s="13" t="str">
        <x:v>N/A — planners are consumers of shared world-model state in many reviewed systems</x:v>
      </x:c>
      <x:c r="AA5" s="13" t="str">
        <x:v>N/A</x:v>
      </x:c>
      <x:c r="AB5" s="13" t="str">
        <x:v>Multiple: geometric maps, semantic knowledge, belief state, symbolic representations, and learned latent dynamics</x:v>
      </x:c>
      <x:c r="AC5" s="13" t="str">
        <x:v>N/A</x:v>
      </x:c>
      <x:c r="AD5" s="13" t="str">
        <x:v>No single planner or task horizon is evaluated.</x:v>
      </x:c>
      <x:c r="AE5" s="13" t="str">
        <x:v>N/A</x:v>
      </x:c>
      <x:c r="AF5" s="13" t="str">
        <x:v>N/A</x:v>
      </x:c>
      <x:c r="AG5" s="13" t="str">
        <x:v>N/A</x:v>
      </x:c>
      <x:c r="AH5" s="13" t="str">
        <x:v>N/A</x:v>
      </x:c>
      <x:c r="AI5" s="13" t="str">
        <x:v>N/A</x:v>
      </x:c>
      <x:c r="AJ5" s="13" t="str">
        <x:v>N/A</x:v>
      </x:c>
      <x:c r="AK5" s="13" t="str">
        <x:v>Multiple</x:v>
      </x:c>
      <x:c r="AL5" s="13" t="str">
        <x:v>Multiple</x:v>
      </x:c>
      <x:c r="AM5" s="13" t="str">
        <x:v>Multiple</x:v>
      </x:c>
      <x:c r="AN5" s="13" t="str">
        <x:v>Fifteen robotic world-model case studies spanning approximately four decades</x:v>
      </x:c>
      <x:c r="AO5" s="13" t="str">
        <x:v>Multiple</x:v>
      </x:c>
      <x:c r="AP5" s="13" t="str">
        <x:v>Both / Survey</x:v>
      </x:c>
      <x:c r="AQ5" s="13" t="str">
        <x:v>Both / Survey</x:v>
      </x:c>
      <x:c r="AR5" s="13" t="str">
        <x:v>Proposes consistent terminology, design dimensions, and software-engineering guidelines for implementing robotic world models.</x:v>
      </x:c>
      <x:c r="AS5" s="13" t="str">
        <x:v>Frames world-model design through boundary, state, and operations and derives guidance from 'design for use,' DRY, and low-coupling/high-cohesion principles.</x:v>
      </x:c>
      <x:c r="AT5" s="13" t="str">
        <x:v>There is no universal world-model design; guidelines can conflict or be infeasible, and appropriate boundaries and abstraction levels depend strongly on the robot, environment, and task.</x:v>
      </x:c>
      <x:c r="AU5" s="13" t="str">
        <x:v>Design world models for less controlled environments and increasingly complex systems containing more diverse hardware and software components.</x:v>
      </x:c>
      <x:c r="AV5" s="13" t="str">
        <x:v>The review explicitly contrasts classical shared-information world models with deep predictive dynamics models.</x:v>
      </x:c>
      <x:c r="AW5" s="13" t="str">
        <x:v>A world model is treated as a component that consolidates information for multiple planners, sensors, and actors.</x:v>
      </x:c>
      <x:c r="AX5" s="13" t="str">
        <x:v>The review does not report a method-level planning horizon.</x:v>
      </x:c>
      <x:c r="AY5" s="13" t="str">
        <x:v>High</x:v>
      </x:c>
      <x:c r="AZ5" s="13" t="str">
        <x:v>Definition-sensitive survey: its broad software-architecture meaning includes non-predictive shared state, unlike the master dataset's strict method-level predictive-world-model rule.</x:v>
      </x:c>
      <x:c r="BA5" s="13" t="str">
        <x:v>Robotic world models—conceptualization, review, and engineering best practices.txt</x:v>
      </x:c>
    </x:row>
    <x:row r="6">
      <x:c r="A6" s="13" t="str">
        <x:v>batch_10</x:v>
      </x:c>
      <x:c r="B6" s="13" t="str">
        <x:v>B10-005</x:v>
      </x:c>
      <x:c r="C6" s="13" t="str">
        <x:v>Review of machine learning methods in soft robotics</x:v>
      </x:c>
      <x:c r="D6" s="13" t="str">
        <x:v>Daekyum Kim; Sang-Hun Kim; Taekyoung Kim; Brian Byunghyun Kang; Minhyuk Lee; Wookeun Park; Subyeong Ku; DongWook Kim; Junghan Kwon; Hochang Lee; Joonbum Bae; Yong-Lae Park; Kyu-Jin Cho; Sungho Jo</x:v>
      </x:c>
      <x:c r="E6" s="13" t="n">
        <x:v>2021</x:v>
      </x:c>
      <x:c r="F6" s="13" t="str">
        <x:v>Published 18 Feb 2021</x:v>
      </x:c>
      <x:c r="G6" s="13" t="str">
        <x:v>PLOS ONE</x:v>
      </x:c>
      <x:c r="H6" s="13" t="str">
        <x:v>Peer-reviewed review article</x:v>
      </x:c>
      <x:c r="I6" s="13" t="str">
        <x:v>Survey</x:v>
      </x:c>
      <x:c r="J6" s="13" t="str"/>
      <x:c r="K6" s="13" t="str">
        <x:v>10.1371/journal.pone.0246102</x:v>
      </x:c>
      <x:c r="L6" s="13" t="str">
        <x:v>Yes</x:v>
      </x:c>
      <x:c r="M6" s="13" t="str">
        <x:v>The review article is open access and its collected datasets are deposited in OSF under DOI 10.17605/OSF.IO/4MYV7.</x:v>
      </x:c>
      <x:c r="N6" s="13" t="str">
        <x:v>Soft Robotics; Soft Sensing; Soft Actuation; Manipulation; Wearables</x:v>
      </x:c>
      <x:c r="O6" s="13" t="str">
        <x:v>Survey; Machine Learning; Modeling and Control of Soft Robots</x:v>
      </x:c>
      <x:c r="P6" s="13" t="str">
        <x:v>N/A</x:v>
      </x:c>
      <x:c r="Q6" s="13" t="str">
        <x:v>N/A</x:v>
      </x:c>
      <x:c r="R6" s="13" t="str">
        <x:v>N/A — wearable and assistive interaction applications are reviewed</x:v>
      </x:c>
      <x:c r="S6" s="13" t="str">
        <x:v>N/A — the survey includes learned dynamics and model-based control but is not organized around world models</x:v>
      </x:c>
      <x:c r="T6" s="13" t="str">
        <x:v>N/A</x:v>
      </x:c>
      <x:c r="U6" s="13" t="str">
        <x:v>Reviews supervised, unsupervised, and reinforcement-learning approaches for nonlinear sensing, state estimation, dynamics modeling, and control.</x:v>
      </x:c>
      <x:c r="V6" s="13" t="str">
        <x:v>N/A</x:v>
      </x:c>
      <x:c r="W6" s="13" t="str">
        <x:v>N/A</x:v>
      </x:c>
      <x:c r="X6" s="13" t="str">
        <x:v>N/A</x:v>
      </x:c>
      <x:c r="Y6" s="13" t="str">
        <x:v>N/A</x:v>
      </x:c>
      <x:c r="Z6" s="13" t="str">
        <x:v>N/A — motion planning and model-based control are among many reviewed applications</x:v>
      </x:c>
      <x:c r="AA6" s="13" t="str">
        <x:v>N/A</x:v>
      </x:c>
      <x:c r="AB6" s="13" t="str">
        <x:v>N/A</x:v>
      </x:c>
      <x:c r="AC6" s="13" t="str">
        <x:v>N/A</x:v>
      </x:c>
      <x:c r="AD6" s="13" t="str">
        <x:v>No single planning system or normalized horizon is evaluated.</x:v>
      </x:c>
      <x:c r="AE6" s="13" t="str">
        <x:v>N/A</x:v>
      </x:c>
      <x:c r="AF6" s="13" t="str">
        <x:v>N/A</x:v>
      </x:c>
      <x:c r="AG6" s="13" t="str">
        <x:v>N/A</x:v>
      </x:c>
      <x:c r="AH6" s="13" t="str">
        <x:v>N/A</x:v>
      </x:c>
      <x:c r="AI6" s="13" t="str">
        <x:v>N/A</x:v>
      </x:c>
      <x:c r="AJ6" s="13" t="str">
        <x:v>N/A</x:v>
      </x:c>
      <x:c r="AK6" s="13" t="str">
        <x:v>Soft pressure, strain, tactile arrays, vision, proprioception, and wearable sensing</x:v>
      </x:c>
      <x:c r="AL6" s="13" t="str">
        <x:v>Multiple sensing, calibration, pose-estimation, grasping, and control objectives</x:v>
      </x:c>
      <x:c r="AM6" s="13" t="str">
        <x:v>Multiple soft-actuator and manipulator control spaces</x:v>
      </x:c>
      <x:c r="AN6" s="13" t="str">
        <x:v>Multiple soft sensors, pneumatic and cable-driven actuators, grippers, manipulators, and wearable systems</x:v>
      </x:c>
      <x:c r="AO6" s="13" t="str">
        <x:v>Multiple soft robotic platforms</x:v>
      </x:c>
      <x:c r="AP6" s="13" t="str">
        <x:v>Both / Survey</x:v>
      </x:c>
      <x:c r="AQ6" s="13" t="str">
        <x:v>Both / Survey</x:v>
      </x:c>
      <x:c r="AR6" s="13" t="str">
        <x:v>Categorizes machine-learning methods across soft sensors, actuators, grippers, manipulators, and wearable systems and analyzes algorithmic trends.</x:v>
      </x:c>
      <x:c r="AS6" s="13" t="str">
        <x:v>Cross-indexes learning algorithms by soft-robot hardware type and task, separating sensing, dynamics modeling, model-based control, and model-free control.</x:v>
      </x:c>
      <x:c r="AT6" s="13" t="str">
        <x:v>The field requires large datasets and faces unexpected error sources, nonlinear and time-varying material behavior, limited real-time computation, and relatively little unsupervised learning.</x:v>
      </x:c>
      <x:c r="AU6" s="13" t="str">
        <x:v>Develop efficient embedded and real-time learning, better transfer and generalization, multimodal soft sensing, robust lifetime and degradation prediction, and richer simulation-to-hardware validation.</x:v>
      </x:c>
      <x:c r="AV6" s="13" t="str">
        <x:v>Some reviewed studies learn soft-body dynamics, but the article does not propose a unified predictive world model.</x:v>
      </x:c>
      <x:c r="AW6" s="13" t="str">
        <x:v>Motion planning and reinforcement learning are reviewed as applications within a much broader soft-robot learning taxonomy.</x:v>
      </x:c>
      <x:c r="AX6" s="13" t="str">
        <x:v>No paper-level planning horizon is defined.</x:v>
      </x:c>
      <x:c r="AY6" s="13" t="str">
        <x:v>High</x:v>
      </x:c>
      <x:c r="AZ6" s="13" t="str">
        <x:v>Peripheral to the core world-model and long-horizon manipulation corpus; retain for deformable and soft-robot context.</x:v>
      </x:c>
      <x:c r="BA6" s="13" t="str">
        <x:v>Review of machine learning methods in soft robotics.txt</x:v>
      </x:c>
    </x:row>
  </x:sheetData>
  <x:pageMargins left="0.7" right="0.7" top="0.75" bottom="0.75" header="0.3" footer="0.3"/>
  <x:tableParts count="1">
    <x:tablePart xmlns:r="http://schemas.openxmlformats.org/officeDocument/2006/relationships" r:id="Rf3eb6b54000f43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2" hidden="0" customWidth="1"/>
    <x:col min="4" max="4" width="56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the first public preprint or original publication; preserve the later venue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Non-method papers are excluded from proposed-method counts.</x:v>
      </x:c>
    </x:row>
    <x:row r="6">
      <x:c r="A6" s="13" t="str">
        <x:v>long_horizon</x:v>
      </x:c>
      <x:c r="B6" s="13" t="str">
        <x:v>Whether an evaluated task is temporally extended</x:v>
      </x:c>
      <x:c r="C6" s="13" t="str">
        <x:v>Yes; No; No / Unclear; N/A</x:v>
      </x:c>
      <x:c r="D6" s="13" t="str">
        <x:v>External composition may make long_horizon Yes even when the component has no planner.</x:v>
      </x:c>
    </x:row>
    <x:row r="7">
      <x:c r="A7" s="13" t="str">
        <x:v>uses_world_model</x:v>
      </x:c>
      <x:c r="B7" s="13" t="str">
        <x:v>Whether the method learns predictive environment evolution</x:v>
      </x:c>
      <x:c r="C7" s="13" t="str">
        <x:v>Yes; No; Ambiguous; N/A</x:v>
      </x:c>
      <x:c r="D7" s="13" t="str">
        <x:v>Analytical simulators and broad shared-state architectures do not automatically satisfy the strict method-level rule.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the proposed method explicitly decomposes or optimizes behavior</x:v>
      </x:c>
      <x:c r="C9" s="13" t="str">
        <x:v>Yes; No; N/A</x:v>
      </x:c>
      <x:c r="D9" s="13" t="str">
        <x:v>Preoperative Bayesian optimization is Yes; direct policy inference is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MPPI; CEM; MCTS; MIP; Bayesian Optimization; A*; Graph Search; POMDP; RRT; Hierarchical; Language Planner; None; N/A</x:v>
      </x:c>
      <x:c r="D10" s="13" t="str"/>
    </x:row>
    <x:row r="11">
      <x:c r="A11" s="13" t="str">
        <x:v>planning_horizon</x:v>
      </x:c>
      <x:c r="B11" s="13" t="str">
        <x:v>Horizon of explicit planning or task-level decomposition</x:v>
      </x:c>
      <x:c r="C11" s="13" t="str">
        <x:v>None; Short; Medium; Long; N/A</x:v>
      </x:c>
      <x:c r="D11" s="13" t="str">
        <x:v>Keep task horizon separate from planner horizon.</x:v>
      </x:c>
    </x:row>
    <x:row r="12">
      <x:c r="A12" s="13" t="str">
        <x:v>planning_role</x:v>
      </x:c>
      <x:c r="B12" s="13" t="str">
        <x:v>Where planning or control occurs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plans or actions are refreshed using new observations</x:v>
      </x:c>
      <x:c r="C13" s="13" t="str">
        <x:v>Yes; No; No / Unclear; N/A; qualified text</x:v>
      </x:c>
      <x:c r="D13" s="13" t="str">
        <x:v>Direct policy refresh may be Yes even when uses_planning is No.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Preserves strict world-model, planner, survey, and peripheral distinctions.</x:v>
      </x:c>
    </x:row>
  </x:sheetData>
  <x:pageMargins left="0.7" right="0.7" top="0.75" bottom="0.75" header="0.3" footer="0.3"/>
  <x:tableParts count="1">
    <x:tablePart xmlns:r="http://schemas.openxmlformats.org/officeDocument/2006/relationships" r:id="R22f17c60f8f34794"/>
  </x:tableParts>
</x:worksheet>
</file>