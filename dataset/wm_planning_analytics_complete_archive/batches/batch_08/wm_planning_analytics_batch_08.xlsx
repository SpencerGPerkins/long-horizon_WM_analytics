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633d0cdc6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3eb5cc14a384acf"/>
    <x:sheet xmlns:r="http://schemas.openxmlformats.org/officeDocument/2006/relationships" name="Annotations" sheetId="2" r:id="Rf2c7e68a16fd4bfe"/>
    <x:sheet xmlns:r="http://schemas.openxmlformats.org/officeDocument/2006/relationships" name="Taxonomy" sheetId="3" r:id="R7dbdcbb9fca1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9fae7224d4fe6" /><Relationship Type="http://schemas.openxmlformats.org/officeDocument/2006/relationships/theme" Target="/xl/theme/theme1.xml" Id="Rebe754ec15f04a92" /><Relationship Type="http://schemas.openxmlformats.org/officeDocument/2006/relationships/sharedStrings" Target="/xl/sharedStrings.xml" Id="Re46084e1c72c4174" /><Relationship Type="http://schemas.openxmlformats.org/officeDocument/2006/relationships/worksheet" Target="/xl/worksheets/sheet1.xml" Id="R93eb5cc14a384acf" /><Relationship Type="http://schemas.openxmlformats.org/officeDocument/2006/relationships/worksheet" Target="/xl/worksheets/sheet2.xml" Id="Rf2c7e68a16fd4bfe" /><Relationship Type="http://schemas.openxmlformats.org/officeDocument/2006/relationships/worksheet" Target="/xl/worksheets/sheet3.xml" Id="R7dbdcbb9fca14e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ed01ccbcdc4f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'Dashboard'!$A$19:$A$25</c:f>
              <c:strCache>
                <c:ptCount val="0"/>
              </c:strCache>
            </c:strRef>
          </c:cat>
          <c:val>
            <c:numRef>
              <c:f>'Dashboard'!$B$19:$B$25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'Dashboard'!$A$19:$A$25</c:f>
              <c:strCache>
                <c:ptCount val="0"/>
              </c:strCache>
            </c:strRef>
          </c:cat>
          <c:val>
            <c:numRef>
              <c:f>'Dashboard'!$C$19:$C$25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'Dashboard'!$A$19:$A$25</c:f>
              <c:strCache>
                <c:ptCount val="0"/>
              </c:strCache>
            </c:strRef>
          </c:cat>
          <c:val>
            <c:numRef>
              <c:f>'Dashboard'!$D$19:$D$25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Datasets</c:v>
          </c:tx>
          <c:cat>
            <c:strRef>
              <c:f>'Dashboard'!$A$19:$A$25</c:f>
              <c:strCache>
                <c:ptCount val="0"/>
              </c:strCache>
            </c:strRef>
          </c:cat>
          <c:val>
            <c:numRef>
              <c:f>'Dashboard'!$E$19:$E$25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ed01ccbcdc4f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8Annotations" displayName="Batch08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8AnnotationsTaxonomy" displayName="Batch08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74b1c0e20245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b475b787d5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3dde4af1e4f5d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5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WM &amp; Planning Analytics — Batch 08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08 interpretation notes</x:v>
      </x:c>
      <x:c r="E4" s="48"/>
      <x:c r="F4" s="48"/>
      <x:c r="G4" s="48"/>
      <x:c r="H4" s="48"/>
    </x:row>
    <x:row r="5">
      <x:c r="A5" s="35" t="str">
        <x:v>Method papers</x:v>
      </x:c>
      <x:c r="B5" s="43" t="n">
        <x:f>COUNTIF(Annotations!$I:$I,"Method")</x:f>
        <x:v>4</x:v>
      </x:c>
      <x:c r="D5" s="52" t="str">
        <x:v>• MIND-V is a hierarchical video world model with high-level planning and visual rollout refinement, but it does not directly control a robot.
• MR-GTAMP is a classical collaborative planner; its reported task skeletons are multi-stage but not explicitly long-horizon.
• Octo is a long-task-capable generalist policy, not a planner or world model.
• Open X-Embodiment is the first Dataset row and is excluded from method counts.
• PaLM-E is a closed-loop high-level language planner grounded in multimodal sensor inputs, not a predictive world model.</x:v>
      </x:c>
      <x:c r="E5" s="52"/>
      <x:c r="F5" s="52"/>
      <x:c r="G5" s="52"/>
      <x:c r="H5" s="52"/>
    </x:row>
    <x:row r="6">
      <x:c r="A6" s="35" t="str">
        <x:v>Survey papers</x:v>
      </x:c>
      <x:c r="B6" s="43" t="n">
        <x:f>COUNTIF(Annotations!$I:$I,"Survey")</x:f>
        <x:v>0</x:v>
      </x:c>
      <x:c r="D6" s="52"/>
      <x:c r="E6" s="52"/>
      <x:c r="F6" s="52"/>
      <x:c r="G6" s="52"/>
      <x:c r="H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  <x:c r="H7" s="52"/>
    </x:row>
    <x:row r="8">
      <x:c r="A8" s="35" t="str">
        <x:v>Dataset papers</x:v>
      </x:c>
      <x:c r="B8" s="43" t="n">
        <x:f>COUNTIF(Annotations!$I:$I,"Dataset")</x:f>
        <x:v>1</x:v>
      </x:c>
      <x:c r="D8" s="52"/>
      <x:c r="E8" s="52"/>
      <x:c r="F8" s="52"/>
      <x:c r="G8" s="52"/>
      <x:c r="H8" s="52"/>
    </x:row>
    <x:row r="9">
      <x:c r="A9" s="35" t="str">
        <x:v>Method papers using world models</x:v>
      </x:c>
      <x:c r="B9" s="43" t="n">
        <x:f>COUNTIFS(Annotations!$I:$I,"Method",Annotations!$S:$S,"Yes")</x:f>
        <x:v>1</x:v>
      </x:c>
      <x:c r="D9" s="52"/>
      <x:c r="E9" s="52"/>
      <x:c r="F9" s="52"/>
      <x:c r="G9" s="52"/>
      <x:c r="H9" s="52"/>
    </x:row>
    <x:row r="10">
      <x:c r="A10" s="35" t="str">
        <x:v>Definition-sensitive WM papers</x:v>
      </x:c>
      <x:c r="B10" s="43" t="n">
        <x:f>COUNTIFS(Annotations!$I:$I,"Method",Annotations!$S:$S,"Ambiguous")</x:f>
        <x:v>0</x:v>
      </x:c>
      <x:c r="D10" s="52"/>
      <x:c r="E10" s="52"/>
      <x:c r="F10" s="52"/>
      <x:c r="G10" s="52"/>
      <x:c r="H10" s="52"/>
    </x:row>
    <x:row r="11">
      <x:c r="A11" s="35" t="str">
        <x:v>Method papers with explicit planning</x:v>
      </x:c>
      <x:c r="B11" s="43" t="n">
        <x:f>COUNTIFS(Annotations!$I:$I,"Method",Annotations!$Z:$Z,"Yes")</x:f>
        <x:v>3</x:v>
      </x:c>
      <x:c r="D11" s="52"/>
      <x:c r="E11" s="52"/>
      <x:c r="F11" s="52"/>
      <x:c r="G11" s="52"/>
      <x:c r="H11" s="52"/>
    </x:row>
    <x:row r="12">
      <x:c r="A12" s="35" t="str">
        <x:v>Long-horizon method papers</x:v>
      </x:c>
      <x:c r="B12" s="43" t="n">
        <x:f>COUNTIFS(Annotations!$I:$I,"Method",Annotations!$P:$P,"Yes")</x:f>
        <x:v>3</x:v>
      </x:c>
      <x:c r="D12" s="52"/>
      <x:c r="E12" s="52"/>
      <x:c r="F12" s="52"/>
      <x:c r="G12" s="52"/>
      <x:c r="H12" s="52"/>
    </x:row>
    <x:row r="13">
      <x:c r="A13" s="35" t="str">
        <x:v>Long-horizon benchmark papers</x:v>
      </x:c>
      <x:c r="B13" s="43" t="n">
        <x:f>COUNTIFS(Annotations!$I:$I,"Benchmark",Annotations!$P:$P,"Yes")</x:f>
        <x:v>0</x:v>
      </x:c>
    </x:row>
    <x:row r="14">
      <x:c r="A14" s="35" t="str">
        <x:v>Method papers with real-robot evaluation</x:v>
      </x:c>
      <x:c r="B14" s="43" t="n">
        <x:f>COUNTIFS(Annotations!$I:$I,"Method",Annotations!$AQ:$AQ,"Yes")</x:f>
        <x:v>3</x:v>
      </x:c>
    </x:row>
    <x:row r="15">
      <x:c r="A15" s="35" t="str">
        <x:v>High-confidence rows</x:v>
      </x:c>
      <x:c r="B15" s="43" t="n">
        <x:f>COUNTIF(Annotations!$AY:$AY,"High")</x:f>
        <x:v>5</x:v>
      </x:c>
    </x:row>
    <x:row r="18">
      <x:c r="A18" s="48" t="str">
        <x:v>Year</x:v>
      </x:c>
      <x:c r="B18" s="48" t="str">
        <x:v>Methods</x:v>
      </x:c>
      <x:c r="C18" s="48" t="str">
        <x:v>Surveys</x:v>
      </x:c>
      <x:c r="D18" s="48" t="str">
        <x:v>Benchmarks</x:v>
      </x:c>
      <x:c r="E18" s="48" t="str">
        <x:v>Datasets</x:v>
      </x:c>
    </x:row>
    <x:row r="19">
      <x:c r="A19" s="57" t="n">
        <x:v>2019</x:v>
      </x:c>
      <x:c r="B19" s="57" t="n">
        <x:f>COUNTIFS(Annotations!$E:$E,A19,Annotations!$I:$I,"Method")</x:f>
        <x:v>0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  <x:c r="E19" s="57" t="n">
        <x:f>COUNTIFS(Annotations!$E:$E,A19,Annotations!$I:$I,"Dataset")</x:f>
        <x:v>0</x:v>
      </x:c>
    </x:row>
    <x:row r="20">
      <x:c r="A20" s="57" t="n">
        <x:v>2021</x:v>
      </x:c>
      <x:c r="B20" s="57" t="n">
        <x:f>COUNTIFS(Annotations!$E:$E,A20,Annotations!$I:$I,"Method")</x:f>
        <x:v>0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0</x:v>
      </x:c>
      <x:c r="E20" s="57" t="n">
        <x:f>COUNTIFS(Annotations!$E:$E,A20,Annotations!$I:$I,"Dataset")</x:f>
        <x:v>0</x:v>
      </x:c>
    </x:row>
    <x:row r="21">
      <x:c r="A21" s="57" t="n">
        <x:v>2022</x:v>
      </x:c>
      <x:c r="B21" s="57" t="n">
        <x:f>COUNTIFS(Annotations!$E:$E,A21,Annotations!$I:$I,"Method")</x:f>
        <x:v>0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  <x:c r="E21" s="57" t="n">
        <x:f>COUNTIFS(Annotations!$E:$E,A21,Annotations!$I:$I,"Dataset")</x:f>
        <x:v>0</x:v>
      </x:c>
    </x:row>
    <x:row r="22">
      <x:c r="A22" s="57" t="n">
        <x:v>2023</x:v>
      </x:c>
      <x:c r="B22" s="57" t="n">
        <x:f>COUNTIFS(Annotations!$E:$E,A22,Annotations!$I:$I,"Method")</x:f>
        <x:v>2</x:v>
      </x:c>
      <x:c r="C22" s="57" t="n">
        <x:f>COUNTIFS(Annotations!$E:$E,A22,Annotations!$I:$I,"Survey")</x:f>
        <x:v>0</x:v>
      </x:c>
      <x:c r="D22" s="57" t="n">
        <x:f>COUNTIFS(Annotations!$E:$E,A22,Annotations!$I:$I,"Benchmark")</x:f>
        <x:v>0</x:v>
      </x:c>
      <x:c r="E22" s="57" t="n">
        <x:f>COUNTIFS(Annotations!$E:$E,A22,Annotations!$I:$I,"Dataset")</x:f>
        <x:v>1</x:v>
      </x:c>
    </x:row>
    <x:row r="23">
      <x:c r="A23" s="57" t="n">
        <x:v>2024</x:v>
      </x:c>
      <x:c r="B23" s="57" t="n">
        <x:f>COUNTIFS(Annotations!$E:$E,A23,Annotations!$I:$I,"Method")</x:f>
        <x:v>1</x:v>
      </x:c>
      <x:c r="C23" s="57" t="n">
        <x:f>COUNTIFS(Annotations!$E:$E,A23,Annotations!$I:$I,"Survey")</x:f>
        <x:v>0</x:v>
      </x:c>
      <x:c r="D23" s="57" t="n">
        <x:f>COUNTIFS(Annotations!$E:$E,A23,Annotations!$I:$I,"Benchmark")</x:f>
        <x:v>0</x:v>
      </x:c>
      <x:c r="E23" s="57" t="n">
        <x:f>COUNTIFS(Annotations!$E:$E,A23,Annotations!$I:$I,"Dataset")</x:f>
        <x:v>0</x:v>
      </x:c>
    </x:row>
    <x:row r="24">
      <x:c r="A24" s="57" t="n">
        <x:v>2025</x:v>
      </x:c>
      <x:c r="B24" s="57" t="n">
        <x:f>COUNTIFS(Annotations!$E:$E,A24,Annotations!$I:$I,"Method")</x:f>
        <x:v>1</x:v>
      </x:c>
      <x:c r="C24" s="57" t="n">
        <x:f>COUNTIFS(Annotations!$E:$E,A24,Annotations!$I:$I,"Survey")</x:f>
        <x:v>0</x:v>
      </x:c>
      <x:c r="D24" s="57" t="n">
        <x:f>COUNTIFS(Annotations!$E:$E,A24,Annotations!$I:$I,"Benchmark")</x:f>
        <x:v>0</x:v>
      </x:c>
      <x:c r="E24" s="57" t="n">
        <x:f>COUNTIFS(Annotations!$E:$E,A24,Annotations!$I:$I,"Dataset")</x:f>
        <x:v>0</x:v>
      </x:c>
    </x:row>
    <x:row r="25">
      <x:c r="A25" s="57" t="n">
        <x:v>2026</x:v>
      </x:c>
      <x:c r="B25" s="57" t="n">
        <x:f>COUNTIFS(Annotations!$E:$E,A25,Annotations!$I:$I,"Method")</x:f>
        <x:v>0</x:v>
      </x:c>
      <x:c r="C25" s="57" t="n">
        <x:f>COUNTIFS(Annotations!$E:$E,A25,Annotations!$I:$I,"Survey")</x:f>
        <x:v>0</x:v>
      </x:c>
      <x:c r="D25" s="57" t="n">
        <x:f>COUNTIFS(Annotations!$E:$E,A25,Annotations!$I:$I,"Benchmark")</x:f>
        <x:v>0</x:v>
      </x:c>
      <x:c r="E25" s="57" t="n">
        <x:f>COUNTIFS(Annotations!$E:$E,A25,Annotations!$I:$I,"Dataset")</x:f>
        <x:v>0</x:v>
      </x:c>
    </x:row>
    <x:row r="28">
      <x:c r="A28" s="48" t="str">
        <x:v>World-model status</x:v>
      </x:c>
      <x:c r="B28" s="48" t="str">
        <x:v>Method count</x:v>
      </x:c>
      <x:c r="C28" s="48" t="str">
        <x:v>Interpretation</x:v>
      </x:c>
    </x:row>
    <x:row r="29">
      <x:c r="A29" s="13" t="str">
        <x:v>Yes</x:v>
      </x:c>
      <x:c r="B29" s="13" t="n">
        <x:f>COUNTIFS(Annotations!$I:$I,"Method",Annotations!$S:$S,A29)</x:f>
        <x:v>1</x:v>
      </x:c>
      <x:c r="C29" s="13" t="str">
        <x:v>Strict predictive environment model</x:v>
      </x:c>
    </x:row>
    <x:row r="30">
      <x:c r="A30" s="13" t="str">
        <x:v>Ambiguous</x:v>
      </x:c>
      <x:c r="B30" s="13" t="n">
        <x:f>COUNTIFS(Annotations!$I:$I,"Method",Annotations!$S:$S,A30)</x:f>
        <x:v>0</x:v>
      </x:c>
      <x:c r="C30" s="13" t="str">
        <x:v>World-model terminology without explicit environment prediction</x:v>
      </x:c>
    </x:row>
    <x:row r="31">
      <x:c r="A31" s="13" t="str">
        <x:v>No</x:v>
      </x:c>
      <x:c r="B31" s="13" t="n">
        <x:f>COUNTIFS(Annotations!$I:$I,"Method",Annotations!$S:$S,A31)</x:f>
        <x:v>3</x:v>
      </x:c>
      <x:c r="C31" s="13" t="str">
        <x:v>No learned downstream predictive environment model</x:v>
      </x:c>
    </x:row>
  </x:sheetData>
  <x:mergeCells>
    <x:mergeCell ref="A1:I2"/>
    <x:mergeCell ref="D4:H4"/>
    <x:mergeCell ref="D5:H12"/>
  </x:mergeCells>
  <x:pageMargins left="0.7" right="0.7" top="0.75" bottom="0.75" header="0.3" footer="0.3"/>
  <x:drawing xmlns:r="http://schemas.openxmlformats.org/officeDocument/2006/relationships" r:id="R7c74b1c0e20245d8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batch_08</x:v>
      </x:c>
      <x:c r="B2" s="13" t="str">
        <x:v>B08-001</x:v>
      </x:c>
      <x:c r="C2" s="13" t="str">
        <x:v>MIND-V: Hierarchical World Model for Long-Horizon Robotic Manipulation with RL-based Physical Alignment</x:v>
      </x:c>
      <x:c r="D2" s="13" t="str">
        <x:v>Ruicheng Zhang; Mingyang Zhang; Jun Zhou; Xiaofan Liu; Zunnan Xu; Zhizhou Zhong; Puxin Yan; Haocheng Luo; Xiu Li</x:v>
      </x:c>
      <x:c r="E2" s="13" t="n">
        <x:v>2025</x:v>
      </x:c>
      <x:c r="F2" s="13" t="str">
        <x:v>First public appearance: arXiv:2512.06628 in Dec 2025; supplied revision v4 dated 5 Jul 2026</x:v>
      </x:c>
      <x:c r="G2" s="13" t="str">
        <x:v>arXiv</x:v>
      </x:c>
      <x:c r="H2" s="13" t="str">
        <x:v>Preprint</x:v>
      </x:c>
      <x:c r="I2" s="13" t="str">
        <x:v>Method</x:v>
      </x:c>
      <x:c r="J2" s="13" t="str"/>
      <x:c r="K2" s="13" t="str">
        <x:v>arXiv:2512.06628</x:v>
      </x:c>
      <x:c r="L2" s="13" t="str">
        <x:v>Unknown</x:v>
      </x:c>
      <x:c r="M2" s="13" t="str">
        <x:v>No public implementation or model release was identified in the supplied manuscript.</x:v>
      </x:c>
      <x:c r="N2" s="13" t="str">
        <x:v>Long-Horizon Manipulation; Video World Simulation; Synthetic Data Generation</x:v>
      </x:c>
      <x:c r="O2" s="13" t="str">
        <x:v>World Modeling; Hierarchical Planning; Video Generation; Policy Learning</x:v>
      </x:c>
      <x:c r="P2" s="13" t="str">
        <x:v>Yes</x:v>
      </x:c>
      <x:c r="Q2" s="13" t="str">
        <x:v>Yes</x:v>
      </x:c>
      <x:c r="R2" s="13" t="str">
        <x:v>No</x:v>
      </x:c>
      <x:c r="S2" s="13" t="str">
        <x:v>Yes</x:v>
      </x:c>
      <x:c r="T2" s="13" t="str">
        <x:v>Hybrid</x:v>
      </x:c>
      <x:c r="U2" s="13" t="str">
        <x:v>A Gemini-based Semantic Reasoning Hub plans subtasks, a Behavioral Semantic Bridge grounds them into masks and trajectories, and a CogVideoX-based diffusion generator synthesizes video; V-JEPA 2 supplies a physical-coherence reward.</x:v>
      </x:c>
      <x:c r="V2" s="13" t="str">
        <x:v>Pixel / Observation</x:v>
      </x:c>
      <x:c r="W2" s="13" t="str">
        <x:v>Long-horizon multi-subtask manipulation video</x:v>
      </x:c>
      <x:c r="X2" s="13" t="str">
        <x:v>No / Indirect — conditioned on planned affordances, masks, and trajectories rather than low-level robot actions</x:v>
      </x:c>
      <x:c r="Y2" s="13" t="str">
        <x:v>Yes</x:v>
      </x:c>
      <x:c r="Z2" s="13" t="str">
        <x:v>Yes</x:v>
      </x:c>
      <x:c r="AA2" s="13" t="str">
        <x:v>Language Planner; Hierarchical; Visual Rollout Selection</x:v>
      </x:c>
      <x:c r="AB2" s="13" t="str">
        <x:v>Symbolic subtask tuples; affordance masks; trajectories; generated video rollouts</x:v>
      </x:c>
      <x:c r="AC2" s="13" t="str">
        <x:v>Long</x:v>
      </x:c>
      <x:c r="AD2" s="13" t="str">
        <x:v>Long-horizon evaluations contain two to four subtasks, while the autoregressive subtask design supports arbitrarily long sequences.</x:v>
      </x:c>
      <x:c r="AE2" s="13" t="str">
        <x:v>Yes</x:v>
      </x:c>
      <x:c r="AF2" s="13" t="str">
        <x:v>Yes — staged visual future rollouts select or refine candidate continuations at each subtask transition</x:v>
      </x:c>
      <x:c r="AG2" s="13" t="str">
        <x:v>High-Level Planner</x:v>
      </x:c>
      <x:c r="AH2" s="13" t="str">
        <x:v>Supervised Fine-Tuning; GRPO Reinforcement Learning; Foundation-Model Adaptation</x:v>
      </x:c>
      <x:c r="AI2" s="13" t="str">
        <x:v>Video World Model / Synthetic-Data Generator</x:v>
      </x:c>
      <x:c r="AJ2" s="13" t="str">
        <x:v>Yes — Gemini 2.5 Pro, Affordance-R1, CogVideoX-5B, and V-JEPA 2</x:v>
      </x:c>
      <x:c r="AK2" s="13" t="str">
        <x:v>RGB scene image; language; object and robot masks; planned trajectories</x:v>
      </x:c>
      <x:c r="AL2" s="13" t="str">
        <x:v>Natural-language instruction decomposed into ordered subtasks</x:v>
      </x:c>
      <x:c r="AM2" s="13" t="str">
        <x:v>Structured affordance and trajectory conditions for video generation</x:v>
      </x:c>
      <x:c r="AN2" s="13" t="str">
        <x:v>Bridge V2 and unseen web scenes; MimicGen Coffee, StackThree, and Square policy-learning tasks</x:v>
      </x:c>
      <x:c r="AO2" s="13" t="str">
        <x:v>Bridge V2 embodiments and MimicGen simulated manipulators</x:v>
      </x:c>
      <x:c r="AP2" s="13" t="str">
        <x:v>Yes</x:v>
      </x:c>
      <x:c r="AQ2" s="13" t="str">
        <x:v>No</x:v>
      </x:c>
      <x:c r="AR2" s="13" t="str">
        <x:v>Introduces a hierarchical video world model that autonomously converts high-level instructions into physically aligned, long-horizon manipulation-video rollouts.</x:v>
      </x:c>
      <x:c r="AS2" s="13" t="str">
        <x:v>Combines VLM task decomposition, structured semantic-to-pixel conditioning, V-JEPA-based physical-reward alignment, and propose-verify-refine visual rollouts.</x:v>
      </x:c>
      <x:c r="AT2" s="13" t="str">
        <x:v>Staged rollout selection adds substantial inference overhead, and errors in upstream affordance localization can propagate through all downstream generation stages.</x:v>
      </x:c>
      <x:c r="AU2" s="13" t="str">
        <x:v>Improve inference efficiency, affordance grounding robustness, and physical fidelity while extending generated data to broader real robotic domains.</x:v>
      </x:c>
      <x:c r="AV2" s="13" t="str">
        <x:v>The Motor Video Generator predicts future manipulation videos, while V-JEPA 2 evaluates their latent physical coherence.</x:v>
      </x:c>
      <x:c r="AW2" s="13" t="str">
        <x:v>The Semantic Reasoning Hub decomposes tasks and generates multiple candidate continuations that are evaluated and refined at subtask boundaries.</x:v>
      </x:c>
      <x:c r="AX2" s="13" t="str">
        <x:v>Long-horizon tasks contain two to four linked subtasks, and 111-frame three-subtask videos are generated autoregressively.</x:v>
      </x:c>
      <x:c r="AY2" s="13" t="str">
        <x:v>High</x:v>
      </x:c>
      <x:c r="AZ2" s="13" t="str">
        <x:v>Core hierarchical video world model. Its planner operates in synthetic video space and does not directly output executable robot actions. Record year as 2025 despite the supplied 2026 revision.</x:v>
      </x:c>
      <x:c r="BA2" s="13" t="str">
        <x:v>MIND-V_ Hierarchical Video Generation for Long-Horizon Robotic Manipulation with RL-based Physical Alignment.txt</x:v>
      </x:c>
    </x:row>
    <x:row r="3">
      <x:c r="A3" s="13" t="str">
        <x:v>batch_08</x:v>
      </x:c>
      <x:c r="B3" s="13" t="str">
        <x:v>B08-002</x:v>
      </x:c>
      <x:c r="C3" s="13" t="str">
        <x:v>Multi-robot geometric task-and-motion planning for collaborative manipulation tasks</x:v>
      </x:c>
      <x:c r="D3" s="13" t="str">
        <x:v>Hejia Zhang; Shao-Hung Chan; Jie Zhong; Jiaoyang Li; Peter Kolapo; Sven Koenig; Zach Agioutantis; Steven Schafrik; Stefanos Nikolaidis</x:v>
      </x:c>
      <x:c r="E3" s="13" t="n">
        <x:v>2023</x:v>
      </x:c>
      <x:c r="F3" s="13" t="str">
        <x:v>Published online 30 Oct 2023</x:v>
      </x:c>
      <x:c r="G3" s="13" t="str">
        <x:v>Autonomous Robots</x:v>
      </x:c>
      <x:c r="H3" s="13" t="str">
        <x:v>Peer-reviewed journal article</x:v>
      </x:c>
      <x:c r="I3" s="13" t="str">
        <x:v>Method</x:v>
      </x:c>
      <x:c r="J3" s="13" t="str"/>
      <x:c r="K3" s="13" t="str">
        <x:v>10.1007/s10514-023-10148-y</x:v>
      </x:c>
      <x:c r="L3" s="13" t="str">
        <x:v>Unknown</x:v>
      </x:c>
      <x:c r="M3" s="13" t="str">
        <x:v>No paper-specific code release was identified in the supplied article.</x:v>
      </x:c>
      <x:c r="N3" s="13" t="str">
        <x:v>Multi-Robot Manipulation; Geometric Task and Motion Planning; Mining Robotics</x:v>
      </x:c>
      <x:c r="O3" s="13" t="str">
        <x:v>Planning; Multi-Robot Collaboration; Rearrangement</x:v>
      </x:c>
      <x:c r="P3" s="13" t="str">
        <x:v>No / Unclear</x:v>
      </x:c>
      <x:c r="Q3" s="13" t="str">
        <x:v>No</x:v>
      </x:c>
      <x:c r="R3" s="13" t="str">
        <x:v>No</x:v>
      </x:c>
      <x:c r="S3" s="13" t="str">
        <x:v>No</x:v>
      </x:c>
      <x:c r="T3" s="13" t="str">
        <x:v>None</x:v>
      </x:c>
      <x:c r="U3" s="13" t="str">
        <x:v>N/A — uses explicit reachability, occlusion, task-skeleton, and motion-planning models rather than learned dynamics.</x:v>
      </x:c>
      <x:c r="V3" s="13" t="str">
        <x:v>N/A</x:v>
      </x:c>
      <x:c r="W3" s="13" t="str">
        <x:v>N/A</x:v>
      </x:c>
      <x:c r="X3" s="13" t="str">
        <x:v>N/A</x:v>
      </x:c>
      <x:c r="Y3" s="13" t="str">
        <x:v>No</x:v>
      </x:c>
      <x:c r="Z3" s="13" t="str">
        <x:v>Yes</x:v>
      </x:c>
      <x:c r="AA3" s="13" t="str">
        <x:v>MCTS; Mixed-Integer Programming; Geometric Task and Motion Planning</x:v>
      </x:c>
      <x:c r="AB3" s="13" t="str">
        <x:v>Hybrid: collaborative manipulation graph, symbolic task skeleton, object placements, and robot trajectories</x:v>
      </x:c>
      <x:c r="AC3" s="13" t="str">
        <x:v>Medium</x:v>
      </x:c>
      <x:c r="AD3" s="13" t="str">
        <x:v>Reported benchmark plans generally contain roughly three to five synchronized task stages, with each stage grounded into multi-robot motion; roof-bolting executions last 250–270 seconds.</x:v>
      </x:c>
      <x:c r="AE3" s="13" t="str">
        <x:v>Yes</x:v>
      </x:c>
      <x:c r="AF3" s="13" t="str">
        <x:v>No</x:v>
      </x:c>
      <x:c r="AG3" s="13" t="str">
        <x:v>Full End-to-End Planner</x:v>
      </x:c>
      <x:c r="AH3" s="13" t="str">
        <x:v>None — search, optimization, and motion planning</x:v>
      </x:c>
      <x:c r="AI3" s="13" t="str">
        <x:v>None</x:v>
      </x:c>
      <x:c r="AJ3" s="13" t="str">
        <x:v>No</x:v>
      </x:c>
      <x:c r="AK3" s="13" t="str">
        <x:v>Fully observed structured geometry, object regions, reachability, and occlusion relations</x:v>
      </x:c>
      <x:c r="AL3" s="13" t="str">
        <x:v>Goal regions for target objects and task-specific mining objectives</x:v>
      </x:c>
      <x:c r="AM3" s="13" t="str">
        <x:v>Hybrid: robot-object assignments, relocation and handover actions, object placements, and continuous trajectories</x:v>
      </x:c>
      <x:c r="AN3" s="13" t="str">
        <x:v>Pick-and-place arms domain; mobile-manipulator box-moving domain; two underground roof-bolting scenarios</x:v>
      </x:c>
      <x:c r="AO3" s="13" t="str">
        <x:v>Multiple robotic arms and mobile manipulators; ABB arm coordinated with an autonomous roof bolter</x:v>
      </x:c>
      <x:c r="AP3" s="13" t="str">
        <x:v>Yes</x:v>
      </x:c>
      <x:c r="AQ3" s="13" t="str">
        <x:v>Yes</x:v>
      </x:c>
      <x:c r="AR3" s="13" t="str">
        <x:v>Builds collaborative manipulation graphs and uses MIP-guided MCTS to find efficient multi-robot geometric task-and-motion plans.</x:v>
      </x:c>
      <x:c r="AS3" s="13" t="str">
        <x:v>Precomputes robot-specific reachability and occlusion information to generate promising collaborative task skeletons, including handovers, before grounding their continuous parameters.</x:v>
      </x:c>
      <x:c r="AT3" s="13" t="str">
        <x:v>Assumes monotone object motion, predefined handover regions, synchronous actions, and full observability; it does not optimize trajectory length or execution time directly.</x:v>
      </x:c>
      <x:c r="AU3" s="13" t="str">
        <x:v>Support non-monotone tasks, discover handover regions dynamically, account for sensing uncertainty and trajectory cost, use learning to accelerate planning, and extend to broader MR-TAMP problems.</x:v>
      </x:c>
      <x:c r="AV3" s="13" t="str">
        <x:v>All environmental reasoning uses explicit geometric and symbolic structures, not a learned predictive transition model.</x:v>
      </x:c>
      <x:c r="AW3" s="13" t="str">
        <x:v>MIPs propose task skeletons, MCTS balances exploration and exploitation, and motion planners ground object placements and robot trajectories.</x:v>
      </x:c>
      <x:c r="AX3" s="13" t="str">
        <x:v>The reported task skeletons are multi-stage but relatively compact; the paper is not explicitly framed as a long-horizon planning method.</x:v>
      </x:c>
      <x:c r="AY3" s="13" t="str">
        <x:v>High</x:v>
      </x:c>
      <x:c r="AZ3" s="13" t="str">
        <x:v>Core multi-robot TAMP baseline. Keep separate from the explicitly long-horizon 113-part construction planner in batch 7.</x:v>
      </x:c>
      <x:c r="BA3" s="13" t="str">
        <x:v>Multi-robot geometric task-and-motion planning for collaborative manipulation tasks.txt</x:v>
      </x:c>
    </x:row>
    <x:row r="4">
      <x:c r="A4" s="13" t="str">
        <x:v>batch_08</x:v>
      </x:c>
      <x:c r="B4" s="13" t="str">
        <x:v>B08-003</x:v>
      </x:c>
      <x:c r="C4" s="13" t="str">
        <x:v>Octo: An Open-Source Generalist Robot Policy</x:v>
      </x:c>
      <x:c r="D4" s="13" t="str">
        <x:v>Octo Model Team (Dibya Ghosh; Homer Walke; Karl Pertsch; Kevin Black; Oier Mees; et al.)</x:v>
      </x:c>
      <x:c r="E4" s="13" t="n">
        <x:v>2024</x:v>
      </x:c>
      <x:c r="F4" s="13" t="str">
        <x:v>Published at Robotics: Science and Systems 2024</x:v>
      </x:c>
      <x:c r="G4" s="13" t="str">
        <x:v>Robotics: Science and Systems (RSS)</x:v>
      </x:c>
      <x:c r="H4" s="13" t="str">
        <x:v>Peer-reviewed conference article</x:v>
      </x:c>
      <x:c r="I4" s="13" t="str">
        <x:v>Method</x:v>
      </x:c>
      <x:c r="J4" s="13" t="str"/>
      <x:c r="K4" s="13" t="str">
        <x:v>RSS 2024</x:v>
      </x:c>
      <x:c r="L4" s="13" t="str">
        <x:v>Yes</x:v>
      </x:c>
      <x:c r="M4" s="13" t="str">
        <x:v>Training code, finetuning code, model checkpoints, and data infrastructure are publicly released.</x:v>
      </x:c>
      <x:c r="N4" s="13" t="str">
        <x:v>Manipulation; Generalist Robot Policies; Cross-Embodiment Learning</x:v>
      </x:c>
      <x:c r="O4" s="13" t="str">
        <x:v>Policy Learning; Foundation Model; Efficient Finetuning</x:v>
      </x:c>
      <x:c r="P4" s="13" t="str">
        <x:v>Yes</x:v>
      </x:c>
      <x:c r="Q4" s="13" t="str">
        <x:v>Yes</x:v>
      </x:c>
      <x:c r="R4" s="13" t="str">
        <x:v>No</x:v>
      </x:c>
      <x:c r="S4" s="13" t="str">
        <x:v>No</x:v>
      </x:c>
      <x:c r="T4" s="13" t="str">
        <x:v>None</x:v>
      </x:c>
      <x:c r="U4" s="13" t="str">
        <x:v>N/A — Octo directly maps task and observation tokens to future action chunks.</x:v>
      </x:c>
      <x:c r="V4" s="13" t="str">
        <x:v>N/A</x:v>
      </x:c>
      <x:c r="W4" s="13" t="str">
        <x:v>Future robot action chunk</x:v>
      </x:c>
      <x:c r="X4" s="13" t="str">
        <x:v>No</x:v>
      </x:c>
      <x:c r="Y4" s="13" t="str">
        <x:v>No</x:v>
      </x:c>
      <x:c r="Z4" s="13" t="str">
        <x:v>No</x:v>
      </x:c>
      <x:c r="AA4" s="13" t="str">
        <x:v>None — direct generalist policy execution</x:v>
      </x:c>
      <x:c r="AB4" s="13" t="str">
        <x:v>N/A</x:v>
      </x:c>
      <x:c r="AC4" s="13" t="str">
        <x:v>None</x:v>
      </x:c>
      <x:c r="AD4" s="13" t="str">
        <x:v>Octo is tested on long-horizon tasks such as Stanford Coffee, but no explicit search, world-model rollout, or high-level decomposition is used.</x:v>
      </x:c>
      <x:c r="AE4" s="13" t="str">
        <x:v>No</x:v>
      </x:c>
      <x:c r="AF4" s="13" t="str">
        <x:v>Yes — the policy repeatedly generates action chunks from updated observations</x:v>
      </x:c>
      <x:c r="AG4" s="13" t="str">
        <x:v>Local Controller</x:v>
      </x:c>
      <x:c r="AH4" s="13" t="str">
        <x:v>Cross-Embodiment Imitation Learning; Diffusion Action Modeling; Foundation-Policy Pretraining</x:v>
      </x:c>
      <x:c r="AI4" s="13" t="str">
        <x:v>Generalist Robot Policy; Diffusion Action Policy</x:v>
      </x:c>
      <x:c r="AJ4" s="13" t="str">
        <x:v>Yes — trained on 800,000 Open X-Embodiment trajectories</x:v>
      </x:c>
      <x:c r="AK4" s="13" t="str">
        <x:v>Multiple RGB cameras; proprioception; optional new modalities such as force-torque after finetuning</x:v>
      </x:c>
      <x:c r="AL4" s="13" t="str">
        <x:v>Natural-language instruction or goal image</x:v>
      </x:c>
      <x:c r="AM4" s="13" t="str">
        <x:v>Flexible end-effector, joint-position, single-arm, and bimanual action spaces</x:v>
      </x:c>
      <x:c r="AN4" s="13" t="str">
        <x:v>Nine real robot setups including WidowX BridgeV2, UR5 Tabletop, CMU Baking, Stanford Coffee, Berkeley Insertion, Pick-Up, Coke, and Bimanual</x:v>
      </x:c>
      <x:c r="AO4" s="13" t="str">
        <x:v>Nine real robot setups across four institutions</x:v>
      </x:c>
      <x:c r="AP4" s="13" t="str">
        <x:v>No</x:v>
      </x:c>
      <x:c r="AQ4" s="13" t="str">
        <x:v>Yes</x:v>
      </x:c>
      <x:c r="AR4" s="13" t="str">
        <x:v>Provides a fully open-source transformer policy that supports multiple robots, observations, task specifications, and action spaces and can be efficiently finetuned.</x:v>
      </x:c>
      <x:c r="AS4" s="13" t="str">
        <x:v>Combines a flexible token-based transformer, language or goal-image conditioning, diffusion action chunks, and adapter-based finetuning across new robot interfaces.</x:v>
      </x:c>
      <x:c r="AT4" s="13" t="str">
        <x:v>Performance is limited by sparse wrist-camera and language annotations, degrades for novel skills and scenes, and is trained only from optimal demonstration data on manipulation platforms.</x:v>
      </x:c>
      <x:c r="AU4" s="13" t="str">
        <x:v>Improve wrist-camera and language conditioning, learn from suboptimal or online interaction data, and expand to navigation and mobile manipulation.</x:v>
      </x:c>
      <x:c r="AV4" s="13" t="str">
        <x:v>The model predicts robot actions directly and contains no learned transition or future-observation model.</x:v>
      </x:c>
      <x:c r="AW4" s="13" t="str">
        <x:v>Long-horizon tasks are handled through repeated closed-loop policy inference rather than an explicit planner.</x:v>
      </x:c>
      <x:c r="AX4" s="13" t="str">
        <x:v>The evaluation explicitly includes long task horizons such as Stanford Coffee, but planning_horizon remains None.</x:v>
      </x:c>
      <x:c r="AY4" s="13" t="str">
        <x:v>High</x:v>
      </x:c>
      <x:c r="AZ4" s="13" t="str">
        <x:v>Core generalist-policy baseline; exclude from world-model and explicit-planning counts.</x:v>
      </x:c>
      <x:c r="BA4" s="13" t="str">
        <x:v>Octo_ An Open-Source Generalist Robot Policy.txt</x:v>
      </x:c>
    </x:row>
    <x:row r="5">
      <x:c r="A5" s="13" t="str">
        <x:v>batch_08</x:v>
      </x:c>
      <x:c r="B5" s="13" t="str">
        <x:v>B08-004</x:v>
      </x:c>
      <x:c r="C5" s="13" t="str">
        <x:v>Open X-Embodiment: Robotic Learning Datasets and RT-X Models</x:v>
      </x:c>
      <x:c r="D5" s="13" t="str">
        <x:v>Open X-Embodiment Collaboration</x:v>
      </x:c>
      <x:c r="E5" s="13" t="n">
        <x:v>2023</x:v>
      </x:c>
      <x:c r="F5" s="13" t="str">
        <x:v>First public appearance: arXiv:2310.08864 in Oct 2023; supplied revision v9 dated 14 May 2025</x:v>
      </x:c>
      <x:c r="G5" s="13" t="str">
        <x:v>arXiv</x:v>
      </x:c>
      <x:c r="H5" s="13" t="str">
        <x:v>Dataset and model paper / revised preprint</x:v>
      </x:c>
      <x:c r="I5" s="13" t="str">
        <x:v>Dataset</x:v>
      </x:c>
      <x:c r="J5" s="13" t="str"/>
      <x:c r="K5" s="13" t="str">
        <x:v>arXiv:2310.08864</x:v>
      </x:c>
      <x:c r="L5" s="13" t="str">
        <x:v>Yes</x:v>
      </x:c>
      <x:c r="M5" s="13" t="str">
        <x:v>The standardized datasets, sample code, project resources, and RT-1-X model are publicly released.</x:v>
      </x:c>
      <x:c r="N5" s="13" t="str">
        <x:v>Manipulation; Cross-Embodiment Robot Learning</x:v>
      </x:c>
      <x:c r="O5" s="13" t="str">
        <x:v>Dataset; Generalist Policy Learning; Cross-Embodiment Transfer</x:v>
      </x:c>
      <x:c r="P5" s="13" t="str">
        <x:v>N/A — the paper aggregates heterogeneous tasks rather than evaluating one normalized horizon</x:v>
      </x:c>
      <x:c r="Q5" s="13" t="str">
        <x:v>N/A — many constituent datasets and RT-X models use language instructions</x:v>
      </x:c>
      <x:c r="R5" s="13" t="str">
        <x:v>N/A</x:v>
      </x:c>
      <x:c r="S5" s="13" t="str">
        <x:v>No</x:v>
      </x:c>
      <x:c r="T5" s="13" t="str">
        <x:v>None</x:v>
      </x:c>
      <x:c r="U5" s="13" t="str">
        <x:v>N/A — RT-1-X and RT-2-X are direct robot policies rather than predictive environment models.</x:v>
      </x:c>
      <x:c r="V5" s="13" t="str">
        <x:v>N/A</x:v>
      </x:c>
      <x:c r="W5" s="13" t="str">
        <x:v>Robot actions for the accompanying RT-X policy experiments</x:v>
      </x:c>
      <x:c r="X5" s="13" t="str">
        <x:v>No</x:v>
      </x:c>
      <x:c r="Y5" s="13" t="str">
        <x:v>No</x:v>
      </x:c>
      <x:c r="Z5" s="13" t="str">
        <x:v>No</x:v>
      </x:c>
      <x:c r="AA5" s="13" t="str">
        <x:v>None</x:v>
      </x:c>
      <x:c r="AB5" s="13" t="str">
        <x:v>N/A</x:v>
      </x:c>
      <x:c r="AC5" s="13" t="str">
        <x:v>N/A</x:v>
      </x:c>
      <x:c r="AD5" s="13" t="str">
        <x:v>The dataset spans diverse tasks and embodiments, but the paper does not define a single planning horizon.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Dataset Aggregation; Cross-Embodiment Imitation Learning; Vision-Language-Action Fine-Tuning</x:v>
      </x:c>
      <x:c r="AI5" s="13" t="str">
        <x:v>RT-1-X; RT-2-X</x:v>
      </x:c>
      <x:c r="AJ5" s="13" t="str">
        <x:v>Yes — RT-X models are trained on the aggregated cross-embodiment dataset</x:v>
      </x:c>
      <x:c r="AK5" s="13" t="str">
        <x:v>Multiple RGB, proprioceptive, language, and embodiment-specific sensor configurations</x:v>
      </x:c>
      <x:c r="AL5" s="13" t="str">
        <x:v>Natural-language instruction and dataset-specific task labels</x:v>
      </x:c>
      <x:c r="AM5" s="13" t="str">
        <x:v>Standardized heterogeneous robot action spaces across embodiments</x:v>
      </x:c>
      <x:c r="AN5" s="13" t="str">
        <x:v>More than one million real-robot episodes from 22 embodiments, 21 institutions, 527 skills, and 160,266 tasks</x:v>
      </x:c>
      <x:c r="AO5" s="13" t="str">
        <x:v>Twenty-two real robot embodiments</x:v>
      </x:c>
      <x:c r="AP5" s="13" t="str">
        <x:v>No / Limited</x:v>
      </x:c>
      <x:c r="AQ5" s="13" t="str">
        <x:v>Yes</x:v>
      </x:c>
      <x:c r="AR5" s="13" t="str">
        <x:v>Consolidates a large cross-institution robot dataset and demonstrates positive cross-embodiment transfer with RT-1-X and RT-2-X.</x:v>
      </x:c>
      <x:c r="AS5" s="13" t="str">
        <x:v>Standardizes heterogeneous datasets and shows that policies trained jointly across robots can outperform embodiment-specific models and gain emergent skills.</x:v>
      </x:c>
      <x:c r="AT5" s="13" t="str">
        <x:v>The study does not cover highly different sensing or actuation modalities, does not test adaptation to entirely new robots, and lacks a criterion predicting when cross-embodiment transfer will help.</x:v>
      </x:c>
      <x:c r="AU5" s="13" t="str">
        <x:v>Expand embodiment and modality diversity, study transfer to unseen robots, and develop principles for predicting positive or negative cross-domain transfer.</x:v>
      </x:c>
      <x:c r="AV5" s="13" t="str">
        <x:v>The accompanying RT-X models map observations and instructions directly to actions without modeling future environment dynamics.</x:v>
      </x:c>
      <x:c r="AW5" s="13" t="str">
        <x:v>The contribution is dataset aggregation and direct policy learning, not search or task decomposition.</x:v>
      </x:c>
      <x:c r="AX5" s="13" t="str">
        <x:v>No corpus-wide task horizon is defined because the dataset merges many independent robot datasets and skills.</x:v>
      </x:c>
      <x:c r="AY5" s="13" t="str">
        <x:v>High</x:v>
      </x:c>
      <x:c r="AZ5" s="13" t="str">
        <x:v>First Dataset row in the taxonomy. Exclude from method, survey, benchmark, world-model, and planner counts; retain for dataset-scale and foundation-policy analyses.</x:v>
      </x:c>
      <x:c r="BA5" s="13" t="str">
        <x:v>Open X-Embodiment_ Robotic Learning Datasets and RT-X Models.txt</x:v>
      </x:c>
    </x:row>
    <x:row r="6">
      <x:c r="A6" s="13" t="str">
        <x:v>batch_08</x:v>
      </x:c>
      <x:c r="B6" s="13" t="str">
        <x:v>B08-005</x:v>
      </x:c>
      <x:c r="C6" s="13" t="str">
        <x:v>PaLM-E: An Embodied Multimodal Language Model</x:v>
      </x:c>
      <x:c r="D6" s="13" t="str">
        <x:v>Danny Driess; Fei Xia; Mehdi S. M. Sajjadi; Corey Lynch; Aakanksha Chowdhery; Brian Ichter; Ayzaan Wahid; Jonathan Tompson; Quan Vuong; Tianhe Yu; Wenlong Huang; Yevgen Chebotar; Pierre Sermanet; Daniel Duckworth; Sergey Levine; Vincent Vanhoucke; Karol Hausman; Marc Toussaint; Klaus Greff; Andy Zeng; Igor Mordatch; Pete Florence</x:v>
      </x:c>
      <x:c r="E6" s="13" t="n">
        <x:v>2023</x:v>
      </x:c>
      <x:c r="F6" s="13" t="str">
        <x:v>First public appearance: arXiv:2303.03378 on 6 Mar 2023</x:v>
      </x:c>
      <x:c r="G6" s="13" t="str">
        <x:v>International Conference on Machine Learning (ICML)</x:v>
      </x:c>
      <x:c r="H6" s="13" t="str">
        <x:v>Peer-reviewed conference article</x:v>
      </x:c>
      <x:c r="I6" s="13" t="str">
        <x:v>Method</x:v>
      </x:c>
      <x:c r="J6" s="13" t="str"/>
      <x:c r="K6" s="13" t="str">
        <x:v>arXiv:2303.03378</x:v>
      </x:c>
      <x:c r="L6" s="13" t="str">
        <x:v>Unknown</x:v>
      </x:c>
      <x:c r="M6" s="13" t="str">
        <x:v>A project website and demonstrations are available, but a complete public model and training-code release was not established.</x:v>
      </x:c>
      <x:c r="N6" s="13" t="str">
        <x:v>Embodied AI; Manipulation; Mobile Manipulation; Visual Question Answering</x:v>
      </x:c>
      <x:c r="O6" s="13" t="str">
        <x:v>Language Planning; Multimodal Foundation Models; Embodied Reasoning</x:v>
      </x:c>
      <x:c r="P6" s="13" t="str">
        <x:v>Yes</x:v>
      </x:c>
      <x:c r="Q6" s="13" t="str">
        <x:v>Yes</x:v>
      </x:c>
      <x:c r="R6" s="13" t="str">
        <x:v>Yes — receives human instructions and supports grounded dialogue</x:v>
      </x:c>
      <x:c r="S6" s="13" t="str">
        <x:v>No</x:v>
      </x:c>
      <x:c r="T6" s="13" t="str">
        <x:v>None</x:v>
      </x:c>
      <x:c r="U6" s="13" t="str">
        <x:v>N/A — multimodal sensor tokens condition a language model that emits textual plans, without learning action-conditioned environment dynamics.</x:v>
      </x:c>
      <x:c r="V6" s="13" t="str">
        <x:v>N/A</x:v>
      </x:c>
      <x:c r="W6" s="13" t="str">
        <x:v>Textual answers, subgoals, and sequential robot-plan steps</x:v>
      </x:c>
      <x:c r="X6" s="13" t="str">
        <x:v>No</x:v>
      </x:c>
      <x:c r="Y6" s="13" t="str">
        <x:v>No</x:v>
      </x:c>
      <x:c r="Z6" s="13" t="str">
        <x:v>Yes</x:v>
      </x:c>
      <x:c r="AA6" s="13" t="str">
        <x:v>Language Planner; Hierarchical</x:v>
      </x:c>
      <x:c r="AB6" s="13" t="str">
        <x:v>Textual subgoals conditioned on image, state, neural 3D, language, and plan history</x:v>
      </x:c>
      <x:c r="AC6" s="13" t="str">
        <x:v>Long</x:v>
      </x:c>
      <x:c r="AD6" s="13" t="str">
        <x:v>PaLM-E autoregressively emits multi-step subgoals for real tabletop and mobile-manipulation tasks until termination.</x:v>
      </x:c>
      <x:c r="AE6" s="13" t="str">
        <x:v>Yes</x:v>
      </x:c>
      <x:c r="AF6" s="13" t="str">
        <x:v>Yes — the next plan step is conditioned on current visual observations and previous execution history</x:v>
      </x:c>
      <x:c r="AG6" s="13" t="str">
        <x:v>High-Level Planner</x:v>
      </x:c>
      <x:c r="AH6" s="13" t="str">
        <x:v>Multitask Supervised Fine-Tuning; Multimodal Foundation-Model Transfer</x:v>
      </x:c>
      <x:c r="AI6" s="13" t="str">
        <x:v>Embodied Multimodal LLM with External Low-Level Skill Policies</x:v>
      </x:c>
      <x:c r="AJ6" s="13" t="str">
        <x:v>Yes — PaLM language model, vision transformers, and multimodal encoders</x:v>
      </x:c>
      <x:c r="AK6" s="13" t="str">
        <x:v>Language; RGB images; continuous state estimates; neural 3D scene representations</x:v>
      </x:c>
      <x:c r="AL6" s="13" t="str">
        <x:v>Natural-language instruction</x:v>
      </x:c>
      <x:c r="AM6" s="13" t="str">
        <x:v>Discrete textual subgoals mapped to pretrained manipulation and navigation policies</x:v>
      </x:c>
      <x:c r="AN6" s="13" t="str">
        <x:v>TAMP environment; Language-Table; real mobile manipulation; OK-VQA; VQAv2; COCO captioning</x:v>
      </x:c>
      <x:c r="AO6" s="13" t="str">
        <x:v>Language-Table tabletop robot; Everyday Robots mobile manipulator; simulated TAMP environment</x:v>
      </x:c>
      <x:c r="AP6" s="13" t="str">
        <x:v>Yes</x:v>
      </x:c>
      <x:c r="AQ6" s="13" t="str">
        <x:v>Yes</x:v>
      </x:c>
      <x:c r="AR6" s="13" t="str">
        <x:v>Injects continuous perceptual and state representations directly into a pretrained language model to create one multimodal model for embodied planning and general vision-language reasoning.</x:v>
      </x:c>
      <x:c r="AS6" s="13" t="str">
        <x:v>Demonstrates positive transfer from internet-scale language and vision tasks to data-efficient, multi-embodiment robotic planning using a single end-to-end model.</x:v>
      </x:c>
      <x:c r="AT6" s="13" t="str">
        <x:v>Planning remains bounded by the available low-level skill policies and training mixture, and the model does not explicitly predict physical dynamics or guarantee safe and feasible actions.</x:v>
      </x:c>
      <x:c r="AU6" s="13" t="str">
        <x:v>Combine embodied language modeling with stronger large-scale visual and geometric representations, more capable low-level control, and improved grounding and safety.</x:v>
      </x:c>
      <x:c r="AV6" s="13" t="str">
        <x:v>PaLM-E grounds sensor inputs inside an LLM but does not predict next environment states conditioned on candidate actions.</x:v>
      </x:c>
      <x:c r="AW6" s="13" t="str">
        <x:v>It generates the next textual plan step from current observations and history, then maps that subgoal to a low-level robot policy.</x:v>
      </x:c>
      <x:c r="AX6" s="13" t="str">
        <x:v>The paper demonstrates real long-horizon block sorting and mobile manipulation under disturbances through repeated subgoal generation.</x:v>
      </x:c>
      <x:c r="AY6" s="13" t="str">
        <x:v>High</x:v>
      </x:c>
      <x:c r="AZ6" s="13" t="str">
        <x:v>Core multimodal language-planning paper; not a world model and not a direct low-level policy.</x:v>
      </x:c>
      <x:c r="BA6" s="13" t="str">
        <x:v>PaLM-E_ An Embodied Multimodal Language Model.txt</x:v>
      </x:c>
    </x:row>
  </x:sheetData>
  <x:pageMargins left="0.7" right="0.7" top="0.75" bottom="0.75" header="0.3" footer="0.3"/>
  <x:tableParts count="1">
    <x:tablePart xmlns:r="http://schemas.openxmlformats.org/officeDocument/2006/relationships" r:id="Rbab475b787d541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2" hidden="0" customWidth="1"/>
    <x:col min="4" max="4" width="56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online-publication year; preserve later venue or revision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Dataset, benchmark, and survey rows are excluded from proposed-method counts.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A direct policy can be evaluated on long-horizon tasks without implementing a planner.</x:v>
      </x:c>
    </x:row>
    <x:row r="7">
      <x:c r="A7" s="13" t="str">
        <x:v>uses_world_model</x:v>
      </x:c>
      <x:c r="B7" s="13" t="str">
        <x:v>Whether the downstream method learns predictive environment evolution</x:v>
      </x:c>
      <x:c r="C7" s="13" t="str">
        <x:v>Yes; No; Ambiguous; N/A</x:v>
      </x:c>
      <x:c r="D7" s="13" t="str">
        <x:v>Frozen predictive features or multimodal LLM grounding alone are not world models.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the method explicitly decomposes or optimizes behavior</x:v>
      </x:c>
      <x:c r="C9" s="13" t="str">
        <x:v>Yes; No; N/A</x:v>
      </x:c>
      <x:c r="D9" s="13" t="str">
        <x:v>Direct action generation and dataset papers are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MCTS; MIP; Tree Search; RRT; Hierarchical; Language Planner; Visual Rollout Selection; Learned Latent Planner; None; N/A</x:v>
      </x:c>
      <x:c r="D10" s="13" t="str"/>
    </x:row>
    <x:row r="11">
      <x:c r="A11" s="13" t="str">
        <x:v>planning_horizon</x:v>
      </x:c>
      <x:c r="B11" s="13" t="str">
        <x:v>Horizon of explicit planning or task-level decomposition</x:v>
      </x:c>
      <x:c r="C11" s="13" t="str">
        <x:v>None; Short; Medium; Long; N/A</x:v>
      </x:c>
      <x:c r="D11" s="13" t="str">
        <x:v>Task horizon and planner horizon remain separate.</x:v>
      </x:c>
    </x:row>
    <x:row r="12">
      <x:c r="A12" s="13" t="str">
        <x:v>planning_role</x:v>
      </x:c>
      <x:c r="B12" s="13" t="str">
        <x:v>Where planning occurs in the system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plans or action sequences are refreshed using new information</x:v>
      </x:c>
      <x:c r="C13" s="13" t="str">
        <x:v>Yes; No; No / Unclear; N/A; qualified text</x:v>
      </x:c>
      <x:c r="D13" s="13" t="str">
        <x:v>State whether this is search-based replanning, rollout refinement, or direct policy refresh.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distinctions among world models, planners, policies, benchmarks, and datasets.</x:v>
      </x:c>
    </x:row>
  </x:sheetData>
  <x:pageMargins left="0.7" right="0.7" top="0.75" bottom="0.75" header="0.3" footer="0.3"/>
  <x:tableParts count="1">
    <x:tablePart xmlns:r="http://schemas.openxmlformats.org/officeDocument/2006/relationships" r:id="R6723dde4af1e4f5d"/>
  </x:tableParts>
</x:worksheet>
</file>