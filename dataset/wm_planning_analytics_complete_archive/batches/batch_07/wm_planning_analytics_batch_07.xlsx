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313b3fa6a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dde97abcf047d8"/>
    <x:sheet xmlns:r="http://schemas.openxmlformats.org/officeDocument/2006/relationships" name="Annotations" sheetId="2" r:id="R8f502490d16940c0"/>
    <x:sheet xmlns:r="http://schemas.openxmlformats.org/officeDocument/2006/relationships" name="Taxonomy" sheetId="3" r:id="R529c80bbd21f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f320eb08e4b68" /><Relationship Type="http://schemas.openxmlformats.org/officeDocument/2006/relationships/theme" Target="/xl/theme/theme1.xml" Id="R5970e45587ae4d4f" /><Relationship Type="http://schemas.openxmlformats.org/officeDocument/2006/relationships/sharedStrings" Target="/xl/sharedStrings.xml" Id="R29e30d9de5184d01" /><Relationship Type="http://schemas.openxmlformats.org/officeDocument/2006/relationships/worksheet" Target="/xl/worksheets/sheet1.xml" Id="Readde97abcf047d8" /><Relationship Type="http://schemas.openxmlformats.org/officeDocument/2006/relationships/worksheet" Target="/xl/worksheets/sheet2.xml" Id="R8f502490d16940c0" /><Relationship Type="http://schemas.openxmlformats.org/officeDocument/2006/relationships/worksheet" Target="/xl/worksheets/sheet3.xml" Id="R529c80bbd21f4f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cbacdd47f84a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'Dashboard'!$B$18:$B$24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'Dashboard'!$C$18:$C$24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'Dashboard'!$D$18:$D$24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cbacdd47f84a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07Annotations" displayName="Batch07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7AnnotationsTaxonomy" displayName="Batch07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e9e3a103314a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f7e8d3e9aa41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11a49f7e034a09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5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8" t="str">
        <x:v>WM &amp; Planning Analytics — Batch 07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07 interpretation notes</x:v>
      </x:c>
      <x:c r="E4" s="48"/>
      <x:c r="F4" s="48"/>
      <x:c r="G4" s="48"/>
    </x:row>
    <x:row r="5">
      <x:c r="A5" s="35" t="str">
        <x:v>Method papers</x:v>
      </x:c>
      <x:c r="B5" s="43" t="n">
        <x:f>COUNTIF(Annotations!$I:$I,"Method")</x:f>
        <x:v>5</x:v>
      </x:c>
      <x:c r="D5" s="52" t="str">
        <x:v>• Multi-robot construction and maintenance automation are classical long-horizon planners, not learned world models.
• Mem-World is a long-horizon video world model used for evaluation and data generation, not action search.
• MEDOR uses a true mesh dynamics world model, but its explicit MPC horizon is one action.
• MimicPlay is counted as a learned hierarchical planner because a latent plan guides a separate low-level controller.
• Task horizon and explicit planner horizon remain separate fields.</x:v>
      </x:c>
      <x:c r="E5" s="52"/>
      <x:c r="F5" s="52"/>
      <x:c r="G5" s="52"/>
    </x:row>
    <x:row r="6">
      <x:c r="A6" s="35" t="str">
        <x:v>Survey papers</x:v>
      </x:c>
      <x:c r="B6" s="43" t="n">
        <x:f>COUNTIF(Annotations!$I:$I,"Survey")</x:f>
        <x:v>0</x:v>
      </x:c>
      <x:c r="D6" s="52"/>
      <x:c r="E6" s="52"/>
      <x:c r="F6" s="52"/>
      <x:c r="G6" s="52"/>
    </x:row>
    <x:row r="7">
      <x:c r="A7" s="35" t="str">
        <x:v>Benchmark papers</x:v>
      </x:c>
      <x:c r="B7" s="43" t="n">
        <x:f>COUNTIF(Annotations!$I:$I,"Benchmark")</x:f>
        <x:v>0</x:v>
      </x:c>
      <x:c r="D7" s="52"/>
      <x:c r="E7" s="52"/>
      <x:c r="F7" s="52"/>
      <x:c r="G7" s="52"/>
    </x:row>
    <x:row r="8">
      <x:c r="A8" s="35" t="str">
        <x:v>Method papers using world models</x:v>
      </x:c>
      <x:c r="B8" s="43" t="n">
        <x:f>COUNTIFS(Annotations!$I:$I,"Method",Annotations!$S:$S,"Yes")</x:f>
        <x:v>2</x:v>
      </x:c>
      <x:c r="D8" s="52"/>
      <x:c r="E8" s="52"/>
      <x:c r="F8" s="52"/>
      <x:c r="G8" s="52"/>
    </x:row>
    <x:row r="9">
      <x:c r="A9" s="35" t="str">
        <x:v>Definition-sensitive WM papers</x:v>
      </x:c>
      <x:c r="B9" s="43" t="n">
        <x:f>COUNTIFS(Annotations!$I:$I,"Method",Annotations!$S:$S,"Ambiguous")</x:f>
        <x:v>0</x:v>
      </x:c>
      <x:c r="D9" s="52"/>
      <x:c r="E9" s="52"/>
      <x:c r="F9" s="52"/>
      <x:c r="G9" s="52"/>
    </x:row>
    <x:row r="10">
      <x:c r="A10" s="35" t="str">
        <x:v>Method papers with explicit planning</x:v>
      </x:c>
      <x:c r="B10" s="43" t="n">
        <x:f>COUNTIFS(Annotations!$I:$I,"Method",Annotations!$Z:$Z,"Yes")</x:f>
        <x:v>4</x:v>
      </x:c>
      <x:c r="D10" s="52"/>
      <x:c r="E10" s="52"/>
      <x:c r="F10" s="52"/>
      <x:c r="G10" s="52"/>
    </x:row>
    <x:row r="11">
      <x:c r="A11" s="35" t="str">
        <x:v>Long-horizon method papers</x:v>
      </x:c>
      <x:c r="B11" s="43" t="n">
        <x:f>COUNTIFS(Annotations!$I:$I,"Method",Annotations!$P:$P,"Yes")</x:f>
        <x:v>4</x:v>
      </x:c>
      <x:c r="D11" s="52"/>
      <x:c r="E11" s="52"/>
      <x:c r="F11" s="52"/>
      <x:c r="G11" s="52"/>
    </x:row>
    <x:row r="12">
      <x:c r="A12" s="35" t="str">
        <x:v>Long-horizon benchmark papers</x:v>
      </x:c>
      <x:c r="B12" s="43" t="n">
        <x:f>COUNTIFS(Annotations!$I:$I,"Benchmark",Annotations!$P:$P,"Yes")</x:f>
        <x:v>0</x:v>
      </x:c>
    </x:row>
    <x:row r="13">
      <x:c r="A13" s="35" t="str">
        <x:v>Method papers with real-robot evaluation</x:v>
      </x:c>
      <x:c r="B13" s="43" t="n">
        <x:f>COUNTIFS(Annotations!$I:$I,"Method",Annotations!$AQ:$AQ,"Yes")</x:f>
        <x:v>5</x:v>
      </x:c>
    </x:row>
    <x:row r="14">
      <x:c r="A14" s="35" t="str">
        <x:v>High-confidence rows</x:v>
      </x:c>
      <x:c r="B14" s="43" t="n">
        <x:f>COUNTIF(Annotations!$AY:$AY,"High")</x:f>
        <x:v>5</x:v>
      </x:c>
    </x:row>
    <x:row r="17">
      <x:c r="A17" s="48" t="str">
        <x:v>Year</x:v>
      </x:c>
      <x:c r="B17" s="48" t="str">
        <x:v>Methods</x:v>
      </x:c>
      <x:c r="C17" s="48" t="str">
        <x:v>Surveys</x:v>
      </x:c>
      <x:c r="D17" s="48" t="str">
        <x:v>Benchmarks</x:v>
      </x:c>
    </x:row>
    <x:row r="18">
      <x:c r="A18" s="57" t="n">
        <x:v>2019</x:v>
      </x:c>
      <x:c r="B18" s="57" t="n">
        <x:f>COUNTIFS(Annotations!$E:$E,A18,Annotations!$I:$I,"Method")</x:f>
        <x:v>0</x:v>
      </x:c>
      <x:c r="C18" s="57" t="n">
        <x:f>COUNTIFS(Annotations!$E:$E,A18,Annotations!$I:$I,"Survey")</x:f>
        <x:v>0</x:v>
      </x:c>
      <x:c r="D18" s="57" t="n">
        <x:f>COUNTIFS(Annotations!$E:$E,A18,Annotations!$I:$I,"Benchmark")</x:f>
        <x:v>0</x:v>
      </x:c>
    </x:row>
    <x:row r="19">
      <x:c r="A19" s="57" t="n">
        <x:v>2021</x:v>
      </x:c>
      <x:c r="B19" s="57" t="n">
        <x:f>COUNTIFS(Annotations!$E:$E,A19,Annotations!$I:$I,"Method")</x:f>
        <x:v>1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</x:row>
    <x:row r="20">
      <x:c r="A20" s="57" t="n">
        <x:v>2022</x:v>
      </x:c>
      <x:c r="B20" s="57" t="n">
        <x:f>COUNTIFS(Annotations!$E:$E,A20,Annotations!$I:$I,"Method")</x:f>
        <x:v>2</x:v>
      </x:c>
      <x:c r="C20" s="57" t="n">
        <x:f>COUNTIFS(Annotations!$E:$E,A20,Annotations!$I:$I,"Survey")</x:f>
        <x:v>0</x:v>
      </x:c>
      <x:c r="D20" s="57" t="n">
        <x:f>COUNTIFS(Annotations!$E:$E,A20,Annotations!$I:$I,"Benchmark")</x:f>
        <x:v>0</x:v>
      </x:c>
    </x:row>
    <x:row r="21">
      <x:c r="A21" s="57" t="n">
        <x:v>2023</x:v>
      </x:c>
      <x:c r="B21" s="57" t="n">
        <x:f>COUNTIFS(Annotations!$E:$E,A21,Annotations!$I:$I,"Method")</x:f>
        <x:v>1</x:v>
      </x:c>
      <x:c r="C21" s="57" t="n">
        <x:f>COUNTIFS(Annotations!$E:$E,A21,Annotations!$I:$I,"Survey")</x:f>
        <x:v>0</x:v>
      </x:c>
      <x:c r="D21" s="57" t="n">
        <x:f>COUNTIFS(Annotations!$E:$E,A21,Annotations!$I:$I,"Benchmark")</x:f>
        <x:v>0</x:v>
      </x:c>
    </x:row>
    <x:row r="22">
      <x:c r="A22" s="57" t="n">
        <x:v>2024</x:v>
      </x:c>
      <x:c r="B22" s="57" t="n">
        <x:f>COUNTIFS(Annotations!$E:$E,A22,Annotations!$I:$I,"Method")</x:f>
        <x:v>0</x:v>
      </x:c>
      <x:c r="C22" s="57" t="n">
        <x:f>COUNTIFS(Annotations!$E:$E,A22,Annotations!$I:$I,"Survey")</x:f>
        <x:v>0</x:v>
      </x:c>
      <x:c r="D22" s="57" t="n">
        <x:f>COUNTIFS(Annotations!$E:$E,A22,Annotations!$I:$I,"Benchmark")</x:f>
        <x:v>0</x:v>
      </x:c>
    </x:row>
    <x:row r="23">
      <x:c r="A23" s="57" t="n">
        <x:v>2025</x:v>
      </x:c>
      <x:c r="B23" s="57" t="n">
        <x:f>COUNTIFS(Annotations!$E:$E,A23,Annotations!$I:$I,"Method")</x:f>
        <x:v>0</x:v>
      </x:c>
      <x:c r="C23" s="57" t="n">
        <x:f>COUNTIFS(Annotations!$E:$E,A23,Annotations!$I:$I,"Survey")</x:f>
        <x:v>0</x:v>
      </x:c>
      <x:c r="D23" s="57" t="n">
        <x:f>COUNTIFS(Annotations!$E:$E,A23,Annotations!$I:$I,"Benchmark")</x:f>
        <x:v>0</x:v>
      </x:c>
    </x:row>
    <x:row r="24">
      <x:c r="A24" s="57" t="n">
        <x:v>2026</x:v>
      </x:c>
      <x:c r="B24" s="57" t="n">
        <x:f>COUNTIFS(Annotations!$E:$E,A24,Annotations!$I:$I,"Method")</x:f>
        <x:v>1</x:v>
      </x:c>
      <x:c r="C24" s="57" t="n">
        <x:f>COUNTIFS(Annotations!$E:$E,A24,Annotations!$I:$I,"Survey")</x:f>
        <x:v>0</x:v>
      </x:c>
      <x:c r="D24" s="57" t="n">
        <x:f>COUNTIFS(Annotations!$E:$E,A24,Annotations!$I:$I,"Benchmark")</x:f>
        <x:v>0</x:v>
      </x:c>
    </x:row>
    <x:row r="27">
      <x:c r="A27" s="48" t="str">
        <x:v>World-model status</x:v>
      </x:c>
      <x:c r="B27" s="48" t="str">
        <x:v>Method count</x:v>
      </x:c>
      <x:c r="C27" s="48" t="str">
        <x:v>Interpretation</x:v>
      </x:c>
    </x:row>
    <x:row r="28">
      <x:c r="A28" s="13" t="str">
        <x:v>Yes</x:v>
      </x:c>
      <x:c r="B28" s="13" t="n">
        <x:f>COUNTIFS(Annotations!$I:$I,"Method",Annotations!$S:$S,A28)</x:f>
        <x:v>2</x:v>
      </x:c>
      <x:c r="C28" s="13" t="str">
        <x:v>Strict predictive environment model</x:v>
      </x:c>
    </x:row>
    <x:row r="29">
      <x:c r="A29" s="13" t="str">
        <x:v>Ambiguous</x:v>
      </x:c>
      <x:c r="B29" s="13" t="n">
        <x:f>COUNTIFS(Annotations!$I:$I,"Method",Annotations!$S:$S,A29)</x:f>
        <x:v>0</x:v>
      </x:c>
      <x:c r="C29" s="13" t="str">
        <x:v>World-model terminology without explicit environment prediction</x:v>
      </x:c>
    </x:row>
    <x:row r="30">
      <x:c r="A30" s="13" t="str">
        <x:v>No</x:v>
      </x:c>
      <x:c r="B30" s="13" t="n">
        <x:f>COUNTIFS(Annotations!$I:$I,"Method",Annotations!$S:$S,A30)</x:f>
        <x:v>3</x:v>
      </x:c>
      <x:c r="C30" s="13" t="str">
        <x:v>No learned downstream predictive environment model</x:v>
      </x:c>
    </x:row>
  </x:sheetData>
  <x:mergeCells>
    <x:mergeCell ref="A1:H2"/>
    <x:mergeCell ref="D4:G4"/>
    <x:mergeCell ref="D5:G11"/>
  </x:mergeCells>
  <x:pageMargins left="0.7" right="0.7" top="0.75" bottom="0.75" header="0.3" footer="0.3"/>
  <x:drawing xmlns:r="http://schemas.openxmlformats.org/officeDocument/2006/relationships" r:id="R22e9e3a103314a08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2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batch_07</x:v>
      </x:c>
      <x:c r="B2" s="13" t="str">
        <x:v>B07-001</x:v>
      </x:c>
      <x:c r="C2" s="13" t="str">
        <x:v>Long-Horizon Multi-Robot Rearrangement Planning for Construction Assembly</x:v>
      </x:c>
      <x:c r="D2" s="13" t="str">
        <x:v>Valentin N. Hartmann; Andreas Orthey; Danny Driess; Ozgur S. Oguz; Marc Toussaint</x:v>
      </x:c>
      <x:c r="E2" s="13" t="n">
        <x:v>2021</x:v>
      </x:c>
      <x:c r="F2" s="13" t="str">
        <x:v>First public appearance: arXiv:2106.02489 in Jun 2021; supplied revision dated 7 Mar 2022</x:v>
      </x:c>
      <x:c r="G2" s="13" t="str">
        <x:v>arXiv</x:v>
      </x:c>
      <x:c r="H2" s="13" t="str">
        <x:v>Preprint</x:v>
      </x:c>
      <x:c r="I2" s="13" t="str">
        <x:v>Method</x:v>
      </x:c>
      <x:c r="J2" s="13" t="str"/>
      <x:c r="K2" s="13" t="str">
        <x:v>arXiv:2106.02489</x:v>
      </x:c>
      <x:c r="L2" s="13" t="str">
        <x:v>Unknown</x:v>
      </x:c>
      <x:c r="M2" s="13" t="str">
        <x:v>The experiments use the publicly available RAI framework, but a paper-specific code release was not established from the supplied manuscript.</x:v>
      </x:c>
      <x:c r="N2" s="13" t="str">
        <x:v>Construction Assembly; Multi-Robot Manipulation; Task and Motion Planning</x:v>
      </x:c>
      <x:c r="O2" s="13" t="str">
        <x:v>Planning; Multi-Robot Coordination; Construction Assembly</x:v>
      </x:c>
      <x:c r="P2" s="13" t="str">
        <x:v>Yes</x:v>
      </x:c>
      <x:c r="Q2" s="13" t="str">
        <x:v>No</x:v>
      </x:c>
      <x:c r="R2" s="13" t="str">
        <x:v>No</x:v>
      </x:c>
      <x:c r="S2" s="13" t="str">
        <x:v>No</x:v>
      </x:c>
      <x:c r="T2" s="13" t="str">
        <x:v>None</x:v>
      </x:c>
      <x:c r="U2" s="13" t="str">
        <x:v>N/A — the method uses explicit symbolic, geometric, and space-time planning models rather than learned dynamics.</x:v>
      </x:c>
      <x:c r="V2" s="13" t="str">
        <x:v>N/A</x:v>
      </x:c>
      <x:c r="W2" s="13" t="str">
        <x:v>N/A</x:v>
      </x:c>
      <x:c r="X2" s="13" t="str">
        <x:v>N/A</x:v>
      </x:c>
      <x:c r="Y2" s="13" t="str">
        <x:v>No</x:v>
      </x:c>
      <x:c r="Z2" s="13" t="str">
        <x:v>Yes</x:v>
      </x:c>
      <x:c r="AA2" s="13" t="str">
        <x:v>Hierarchical Task and Motion Planning; Optimization; Bi-directional Space-Time RRT</x:v>
      </x:c>
      <x:c r="AB2" s="13" t="str">
        <x:v>Hybrid: symbolic task assignments, manipulation constraints, and continuous space-time trajectories</x:v>
      </x:c>
      <x:c r="AC2" s="13" t="str">
        <x:v>Long</x:v>
      </x:c>
      <x:c r="AD2" s="13" t="str">
        <x:v>The planner solves construction sequences with up to 113 placed parts and 12 heterogeneous agents by composing limited-horizon subproblems.</x:v>
      </x:c>
      <x:c r="AE2" s="13" t="str">
        <x:v>Yes</x:v>
      </x:c>
      <x:c r="AF2" s="13" t="str">
        <x:v>No — the authors state that the current system is too slow for online replanning</x:v>
      </x:c>
      <x:c r="AG2" s="13" t="str">
        <x:v>Full End-to-End Planner</x:v>
      </x:c>
      <x:c r="AH2" s="13" t="str">
        <x:v>None — optimization and sampling-based planning</x:v>
      </x:c>
      <x:c r="AI2" s="13" t="str">
        <x:v>None</x:v>
      </x:c>
      <x:c r="AJ2" s="13" t="str">
        <x:v>No</x:v>
      </x:c>
      <x:c r="AK2" s="13" t="str">
        <x:v>Structured architectural model; robot and object configurations; manipulation constraints</x:v>
      </x:c>
      <x:c r="AL2" s="13" t="str">
        <x:v>Target assembly geometry and object goal poses</x:v>
      </x:c>
      <x:c r="AM2" s="13" t="str">
        <x:v>Hybrid: discrete task assignments and continuous multi-robot trajectories</x:v>
      </x:c>
      <x:c r="AN2" s="13" t="str">
        <x:v>Tower (15 parts); wall (36); well (52); pavilion (113); handover; real six-box stacking</x:v>
      </x:c>
      <x:c r="AO2" s="13" t="str">
        <x:v>Simulated mobile manipulator, mobile KUKA arm, and crane; two real Panda arms</x:v>
      </x:c>
      <x:c r="AP2" s="13" t="str">
        <x:v>Yes</x:v>
      </x:c>
      <x:c r="AQ2" s="13" t="str">
        <x:v>Yes</x:v>
      </x:c>
      <x:c r="AR2" s="13" t="str">
        <x:v>Decomposes long-horizon multi-robot construction TAMP into tractable subproblems and coordinates asynchronous agents through space-time planning.</x:v>
      </x:c>
      <x:c r="AS2" s="13" t="str">
        <x:v>Combines time-embedded keyframe optimization with a bidirectional space-time RRT that plans to unknown arrival times while respecting previously fixed robot trajectories.</x:v>
      </x:c>
      <x:c r="AT2" s="13" t="str">
        <x:v>Planning is too slow for online replanning; the formulation assumes monotonic rearrangement, light objects, known start and goal poses, and controlled execution without fastening or structural-support modeling.</x:v>
      </x:c>
      <x:c r="AU2" s="13" t="str">
        <x:v>Improve keyframe generation and multi-query planning, and incorporate spatial and temporal execution uncertainty for real construction deployment.</x:v>
      </x:c>
      <x:c r="AV2" s="13" t="str">
        <x:v>The method uses logic-geometric programming and explicit collision and manipulation constraints rather than learning environment dynamics.</x:v>
      </x:c>
      <x:c r="AW2" s="13" t="str">
        <x:v>Limited-horizon task assignments, joint manipulation optimization, and bidirectional space-time RRT paths are combined into a complete assembly plan.</x:v>
      </x:c>
      <x:c r="AX2" s="13" t="str">
        <x:v>Experiments scale to 113 parts and 12 agents, and the paper explicitly targets long-horizon multi-robot assembly.</x:v>
      </x:c>
      <x:c r="AY2" s="13" t="str">
        <x:v>High</x:v>
      </x:c>
      <x:c r="AZ2" s="13" t="str">
        <x:v>Core classical long-horizon multi-robot TAMP paper; highly relevant as a non-learned planning baseline.</x:v>
      </x:c>
      <x:c r="BA2" s="13" t="str">
        <x:v>Long-Horizon Multi-Robot Rearrangement Planning for Construction Assembly.txt</x:v>
      </x:c>
    </x:row>
    <x:row r="3">
      <x:c r="A3" s="13" t="str">
        <x:v>batch_07</x:v>
      </x:c>
      <x:c r="B3" s="13" t="str">
        <x:v>B07-002</x:v>
      </x:c>
      <x:c r="C3" s="13" t="str">
        <x:v>Maintenance Automation: Methods for Robotics Manipulation Planning and Execution</x:v>
      </x:c>
      <x:c r="D3" s="13" t="str">
        <x:v>Christian Friedrich; Ralf Gulde; Armin Lechler; Alexander Verl</x:v>
      </x:c>
      <x:c r="E3" s="13" t="n">
        <x:v>2022</x:v>
      </x:c>
      <x:c r="F3" s="13" t="str">
        <x:v>Accepted by IEEE Transactions on Automation Science and Engineering in May 2022</x:v>
      </x:c>
      <x:c r="G3" s="13" t="str">
        <x:v>IEEE Transactions on Automation Science and Engineering</x:v>
      </x:c>
      <x:c r="H3" s="13" t="str">
        <x:v>Peer-reviewed journal article / accepted preprint</x:v>
      </x:c>
      <x:c r="I3" s="13" t="str">
        <x:v>Method</x:v>
      </x:c>
      <x:c r="J3" s="13" t="str"/>
      <x:c r="K3" s="13" t="str">
        <x:v>Not identified in supplied manuscript</x:v>
      </x:c>
      <x:c r="L3" s="13" t="str">
        <x:v>Unknown</x:v>
      </x:c>
      <x:c r="M3" s="13" t="str">
        <x:v>The system uses ROS and a public CANopen stack, but a complete paper-specific implementation was not identified.</x:v>
      </x:c>
      <x:c r="N3" s="13" t="str">
        <x:v>Industrial Manipulation; Maintenance; Assembly and Disassembly</x:v>
      </x:c>
      <x:c r="O3" s="13" t="str">
        <x:v>Planning; Execution; Maintenance Automation</x:v>
      </x:c>
      <x:c r="P3" s="13" t="str">
        <x:v>Yes</x:v>
      </x:c>
      <x:c r="Q3" s="13" t="str">
        <x:v>No</x:v>
      </x:c>
      <x:c r="R3" s="13" t="str">
        <x:v>No</x:v>
      </x:c>
      <x:c r="S3" s="13" t="str">
        <x:v>No</x:v>
      </x:c>
      <x:c r="T3" s="13" t="str">
        <x:v>None</x:v>
      </x:c>
      <x:c r="U3" s="13" t="str">
        <x:v>N/A — the system uses CAD, RGB-D perception, symbolic relations, and explicit robot-control models.</x:v>
      </x:c>
      <x:c r="V3" s="13" t="str">
        <x:v>N/A</x:v>
      </x:c>
      <x:c r="W3" s="13" t="str">
        <x:v>N/A</x:v>
      </x:c>
      <x:c r="X3" s="13" t="str">
        <x:v>N/A</x:v>
      </x:c>
      <x:c r="Y3" s="13" t="str">
        <x:v>No</x:v>
      </x:c>
      <x:c r="Z3" s="13" t="str">
        <x:v>Yes</x:v>
      </x:c>
      <x:c r="AA3" s="13" t="str">
        <x:v>Hierarchical Symbolic Planning; Sampling-Based Path Planning; Runtime Skill Decomposition</x:v>
      </x:c>
      <x:c r="AB3" s="13" t="str">
        <x:v>Hybrid: symbolic component relations, geometric paths, and executable skill primitives</x:v>
      </x:c>
      <x:c r="AC3" s="13" t="str">
        <x:v>Long</x:v>
      </x:c>
      <x:c r="AD3" s="13" t="str">
        <x:v>Real tasks last roughly 271–544 seconds; the valve example expands into 29 disassembly skill steps followed by reassembly.</x:v>
      </x:c>
      <x:c r="AE3" s="13" t="str">
        <x:v>Yes</x:v>
      </x:c>
      <x:c r="AF3" s="13" t="str">
        <x:v>Yes — the runtime interpreter adapts skill execution and can select an alternative plan after failure, although robust alternative-plan generation remains an open problem</x:v>
      </x:c>
      <x:c r="AG3" s="13" t="str">
        <x:v>Full End-to-End Planner</x:v>
      </x:c>
      <x:c r="AH3" s="13" t="str">
        <x:v>None — symbolic, geometric, and rule-based planning</x:v>
      </x:c>
      <x:c r="AI3" s="13" t="str">
        <x:v>Reactive Skill-Primitive Library with hybrid control</x:v>
      </x:c>
      <x:c r="AJ3" s="13" t="str">
        <x:v>No</x:v>
      </x:c>
      <x:c r="AK3" s="13" t="str">
        <x:v>CAD; RGB-D; force-torque sensing; robot and object state</x:v>
      </x:c>
      <x:c r="AL3" s="13" t="str">
        <x:v>Symbolic assembly or disassembly goal</x:v>
      </x:c>
      <x:c r="AM3" s="13" t="str">
        <x:v>Hybrid: manipulation primitives, Cartesian velocity commands, tool actions, and position/force/visual-servo control</x:v>
      </x:c>
      <x:c r="AN3" s="13" t="str">
        <x:v>Peg-in-hole; panel assembly; lubricant exchange; valve disassembly and reassembly</x:v>
      </x:c>
      <x:c r="AO3" s="13" t="str">
        <x:v>Schunk LWA4p with Schunk FTM 75 force-torque sensor and Kinect v2</x:v>
      </x:c>
      <x:c r="AP3" s="13" t="str">
        <x:v>No</x:v>
      </x:c>
      <x:c r="AQ3" s="13" t="str">
        <x:v>Yes</x:v>
      </x:c>
      <x:c r="AR3" s="13" t="str">
        <x:v>Integrates task planning, environment modeling, path planning, symbolic-plan interpretation, and hybrid control into a complete autonomous maintenance system.</x:v>
      </x:c>
      <x:c r="AS3" s="13" t="str">
        <x:v>Transforms general symbolic manipulation primitives into sensor-aware executable skill sequences at runtime, bridging planning and practical robot control.</x:v>
      </x:c>
      <x:c r="AT3" s="13" t="str">
        <x:v>The system currently supports linear monotonic plans and one arm; success is limited by sensing, controller speed, tooling, wear, corrosion, and insufficient recovery strategies.</x:v>
      </x:c>
      <x:c r="AU3" s="13" t="str">
        <x:v>Extend to dual-arm manipulation, non-monotonic subassemblies, alternative-plan generation, and more reliable execution under component wear and corrosion.</x:v>
      </x:c>
      <x:c r="AV3" s="13" t="str">
        <x:v>Current environment state is fused from CAD and sensors, but no learned predictive transition model is used.</x:v>
      </x:c>
      <x:c r="AW3" s="13" t="str">
        <x:v>A task planner produces symbolic manipulation primitives, a path planner supplies trajectories, and a runtime interpreter expands them into controlled skills.</x:v>
      </x:c>
      <x:c r="AX3" s="13" t="str">
        <x:v>The four real applications require multi-stage autonomous sequences lasting several minutes, including complete disassembly and reassembly.</x:v>
      </x:c>
      <x:c r="AY3" s="13" t="str">
        <x:v>High</x:v>
      </x:c>
      <x:c r="AZ3" s="13" t="str">
        <x:v>Core industrial long-horizon planning-and-execution system; not a learned world model.</x:v>
      </x:c>
      <x:c r="BA3" s="13" t="str">
        <x:v>Maintenance Automation_ Methods for Robotics Manipulation Planning and Execution.txt</x:v>
      </x:c>
    </x:row>
    <x:row r="4">
      <x:c r="A4" s="13" t="str">
        <x:v>batch_07</x:v>
      </x:c>
      <x:c r="B4" s="13" t="str">
        <x:v>B07-003</x:v>
      </x:c>
      <x:c r="C4" s="13" t="str">
        <x:v>Mem-World: Memory-Augmented Action-Conditioned World Models for Persistent Robot Manipulation</x:v>
      </x:c>
      <x:c r="D4" s="13" t="str">
        <x:v>Zirui Zheng; Jiaqian Yu; Xiongfeng Peng; Jun Shi; Mingyi Li; Chao Zhang; Weiming Li; Dong Wang; Huchuan Lu; Xu Jia</x:v>
      </x:c>
      <x:c r="E4" s="13" t="n">
        <x:v>2026</x:v>
      </x:c>
      <x:c r="F4" s="13" t="str">
        <x:v>First public appearance: arXiv:2606.18960 in Jun 2026</x:v>
      </x:c>
      <x:c r="G4" s="13" t="str">
        <x:v>arXiv</x:v>
      </x:c>
      <x:c r="H4" s="13" t="str">
        <x:v>Preprint</x:v>
      </x:c>
      <x:c r="I4" s="13" t="str">
        <x:v>Method</x:v>
      </x:c>
      <x:c r="J4" s="13" t="str"/>
      <x:c r="K4" s="13" t="str">
        <x:v>arXiv:2606.18960</x:v>
      </x:c>
      <x:c r="L4" s="13" t="str">
        <x:v>Unknown</x:v>
      </x:c>
      <x:c r="M4" s="13" t="str">
        <x:v>No public code repository was identified in the supplied manuscript.</x:v>
      </x:c>
      <x:c r="N4" s="13" t="str">
        <x:v>Manipulation; Robot World Simulation; Policy Evaluation</x:v>
      </x:c>
      <x:c r="O4" s="13" t="str">
        <x:v>World Modeling; Long-Horizon Memory; Policy Evaluation and Data Generation</x:v>
      </x:c>
      <x:c r="P4" s="13" t="str">
        <x:v>Yes</x:v>
      </x:c>
      <x:c r="Q4" s="13" t="str">
        <x:v>No</x:v>
      </x:c>
      <x:c r="R4" s="13" t="str">
        <x:v>No</x:v>
      </x:c>
      <x:c r="S4" s="13" t="str">
        <x:v>Yes</x:v>
      </x:c>
      <x:c r="T4" s="13" t="str">
        <x:v>Diffusion</x:v>
      </x:c>
      <x:c r="U4" s="13" t="str">
        <x:v>A Ctrl-World-based multi-view action-conditioned video model augmented with W-VMem, a temporally aware 4D surfel-indexed wrist-view memory.</x:v>
      </x:c>
      <x:c r="V4" s="13" t="str">
        <x:v>Pixel / Observation</x:v>
      </x:c>
      <x:c r="W4" s="13" t="str">
        <x:v>Future multi-view RGB observations</x:v>
      </x:c>
      <x:c r="X4" s="13" t="str">
        <x:v>Yes</x:v>
      </x:c>
      <x:c r="Y4" s="13" t="str">
        <x:v>Yes</x:v>
      </x:c>
      <x:c r="Z4" s="13" t="str">
        <x:v>No</x:v>
      </x:c>
      <x:c r="AA4" s="13" t="str">
        <x:v>None — used for policy evaluation and synthetic-data generation rather than action search</x:v>
      </x:c>
      <x:c r="AB4" s="13" t="str">
        <x:v>N/A</x:v>
      </x:c>
      <x:c r="AC4" s="13" t="str">
        <x:v>None</x:v>
      </x:c>
      <x:c r="AD4" s="13" t="str">
        <x:v>The model autoregressively generates 20-step, 20-second rollouts, but does not optimize candidate action sequences.</x:v>
      </x:c>
      <x:c r="AE4" s="13" t="str">
        <x:v>No</x:v>
      </x:c>
      <x:c r="AF4" s="13" t="str">
        <x:v>No — it rolls out supplied policy or replay action chunks</x:v>
      </x:c>
      <x:c r="AG4" s="13" t="str">
        <x:v>None</x:v>
      </x:c>
      <x:c r="AH4" s="13" t="str">
        <x:v>Generative Video World Modeling; Temporal-Attention Fine-Tuning</x:v>
      </x:c>
      <x:c r="AI4" s="13" t="str">
        <x:v>World-model evaluator and synthetic-data engine</x:v>
      </x:c>
      <x:c r="AJ4" s="13" t="str">
        <x:v>Yes — built on a pretrained Ctrl-World video world model</x:v>
      </x:c>
      <x:c r="AK4" s="13" t="str">
        <x:v>Three RGB views: one wrist camera and two third-person cameras; robot actions and camera geometry</x:v>
      </x:c>
      <x:c r="AL4" s="13" t="str">
        <x:v>Task-specific action sequence or policy rollout</x:v>
      </x:c>
      <x:c r="AM4" s="13" t="str">
        <x:v>Continuous robot action chunks supplied by a policy or replay trajectory</x:v>
      </x:c>
      <x:c r="AN4" s="13" t="str">
        <x:v>DROID replay consistency evaluation; real-world policy evaluation; three long-horizon policy-improvement tasks</x:v>
      </x:c>
      <x:c r="AO4" s="13" t="str">
        <x:v>Franka Emika Panda with two external cameras and one wrist camera</x:v>
      </x:c>
      <x:c r="AP4" s="13" t="str">
        <x:v>No — the learned world model acts as a simulator, but training and evaluation use real robot data</x:v>
      </x:c>
      <x:c r="AQ4" s="13" t="str">
        <x:v>Yes</x:v>
      </x:c>
      <x:c r="AR4" s="13" t="str">
        <x:v>Adds geometry-aware, temporally indexed memory to an action-conditioned multi-view video world model to preserve objects across occlusion and wrist-camera motion.</x:v>
      </x:c>
      <x:c r="AS4" s="13" t="str">
        <x:v>Retrieves non-redundant historical wrist observations by rendering dynamic surfels from future action-derived camera viewpoints.</x:v>
      </x:c>
      <x:c r="AT4" s="13" t="str">
        <x:v>Rollouts depend on an informative initial wrist view and do not enforce physical contact constraints, so visually plausible but physically impossible interactions can be generated.</x:v>
      </x:c>
      <x:c r="AU4" s="13" t="str">
        <x:v>Improve cross-view persistence and add physics-aware signals such as contact and force to increase rollout fidelity.</x:v>
      </x:c>
      <x:c r="AV4" s="13" t="str">
        <x:v>Given current and retrieved historical observations plus future actions, the model generates subsequent multi-view observations and updates its memory autoregressively.</x:v>
      </x:c>
      <x:c r="AW4" s="13" t="str">
        <x:v>The world model evaluates supplied policies and generates post-training data; it does not conduct MPC, search, or candidate-plan selection.</x:v>
      </x:c>
      <x:c r="AX4" s="13" t="str">
        <x:v>The method targets persistent long-horizon rollouts and improves policy success from 58% to 72% on three long-horizon tasks.</x:v>
      </x:c>
      <x:c r="AY4" s="13" t="str">
        <x:v>High</x:v>
      </x:c>
      <x:c r="AZ4" s="13" t="str">
        <x:v>Core long-horizon video world model, but exclude from explicit-planning counts.</x:v>
      </x:c>
      <x:c r="BA4" s="13" t="str">
        <x:v>Mem-World_ Memory-Augmented Action-Conditioned World Models for Persistent Robot Manipulation.txt</x:v>
      </x:c>
    </x:row>
    <x:row r="5">
      <x:c r="A5" s="13" t="str">
        <x:v>batch_07</x:v>
      </x:c>
      <x:c r="B5" s="13" t="str">
        <x:v>B07-004</x:v>
      </x:c>
      <x:c r="C5" s="13" t="str">
        <x:v>Mesh-based Dynamics with Occlusion Reasoning for Cloth Manipulation</x:v>
      </x:c>
      <x:c r="D5" s="13" t="str">
        <x:v>Zixuan Huang; Xingyu Lin; David Held</x:v>
      </x:c>
      <x:c r="E5" s="13" t="n">
        <x:v>2022</x:v>
      </x:c>
      <x:c r="F5" s="13" t="str">
        <x:v>Published at Robotics: Science and Systems 2022</x:v>
      </x:c>
      <x:c r="G5" s="13" t="str">
        <x:v>Robotics: Science and Systems (RSS)</x:v>
      </x:c>
      <x:c r="H5" s="13" t="str">
        <x:v>Peer-reviewed conference article</x:v>
      </x:c>
      <x:c r="I5" s="13" t="str">
        <x:v>Method</x:v>
      </x:c>
      <x:c r="J5" s="13" t="str"/>
      <x:c r="K5" s="13" t="str">
        <x:v>RSS 2022</x:v>
      </x:c>
      <x:c r="L5" s="13" t="str">
        <x:v>Unknown</x:v>
      </x:c>
      <x:c r="M5" s="13" t="str">
        <x:v>A project website with videos and visualizations is provided, but a code release was not established from the supplied paper.</x:v>
      </x:c>
      <x:c r="N5" s="13" t="str">
        <x:v>Deformable Object Manipulation; Cloth Manipulation</x:v>
      </x:c>
      <x:c r="O5" s="13" t="str">
        <x:v>World Modeling; State Estimation; Planning</x:v>
      </x:c>
      <x:c r="P5" s="13" t="str">
        <x:v>No</x:v>
      </x:c>
      <x:c r="Q5" s="13" t="str">
        <x:v>No</x:v>
      </x:c>
      <x:c r="R5" s="13" t="str">
        <x:v>No</x:v>
      </x:c>
      <x:c r="S5" s="13" t="str">
        <x:v>Yes</x:v>
      </x:c>
      <x:c r="T5" s="13" t="str">
        <x:v>Object-Centric</x:v>
      </x:c>
      <x:c r="U5" s="13" t="str">
        <x:v>MEDOR reconstructs the full cloth mesh, refines it with self-supervised test-time optimization, and predicts mesh dynamics with a graph neural network.</x:v>
      </x:c>
      <x:c r="V5" s="13" t="str">
        <x:v>Object / Mesh State</x:v>
      </x:c>
      <x:c r="W5" s="13" t="str">
        <x:v>Future cloth mesh vertex dynamics and task reward</x:v>
      </x:c>
      <x:c r="X5" s="13" t="str">
        <x:v>Yes</x:v>
      </x:c>
      <x:c r="Y5" s="13" t="str">
        <x:v>No</x:v>
      </x:c>
      <x:c r="Z5" s="13" t="str">
        <x:v>Yes</x:v>
      </x:c>
      <x:c r="AA5" s="13" t="str">
        <x:v>MPC; Random Shooting</x:v>
      </x:c>
      <x:c r="AB5" s="13" t="str">
        <x:v>Explicit reconstructed cloth mesh</x:v>
      </x:c>
      <x:c r="AC5" s="13" t="str">
        <x:v>Short</x:v>
      </x:c>
      <x:c r="AD5" s="13" t="str">
        <x:v>At every decision, 500 candidate pick-and-place actions are rolled out for a horizon of one action.</x:v>
      </x:c>
      <x:c r="AE5" s="13" t="str">
        <x:v>No</x:v>
      </x:c>
      <x:c r="AF5" s="13" t="str">
        <x:v>Yes — the cloth mesh is re-estimated and a new action is selected after each pick-and-place</x:v>
      </x:c>
      <x:c r="AG5" s="13" t="str">
        <x:v>Full End-to-End Planner</x:v>
      </x:c>
      <x:c r="AH5" s="13" t="str">
        <x:v>Supervised Mesh Reconstruction; Self-Supervised Test-Time Optimization; Dynamics Learning</x:v>
      </x:c>
      <x:c r="AI5" s="13" t="str">
        <x:v>None — action selected through model-based random shooting</x:v>
      </x:c>
      <x:c r="AJ5" s="13" t="str">
        <x:v>Yes — reconstruction and dynamics models are trained in simulation</x:v>
      </x:c>
      <x:c r="AK5" s="13" t="str">
        <x:v>Single-view RGB-D / depth observation</x:v>
      </x:c>
      <x:c r="AL5" s="13" t="str">
        <x:v>Flattening reward or category-specific canonical cloth pose</x:v>
      </x:c>
      <x:c r="AM5" s="13" t="str">
        <x:v>Continuous planar pick-and-place action</x:v>
      </x:c>
      <x:c r="AN5" s="13" t="str">
        <x:v>SoftGym/CLOTH3D cloth flattening and canonicalization across trousers, shirts, dresses, skirts, and jumpsuits</x:v>
      </x:c>
      <x:c r="AO5" s="13" t="str">
        <x:v>Franka Emika Panda with Azure Kinect</x:v>
      </x:c>
      <x:c r="AP5" s="13" t="str">
        <x:v>Yes</x:v>
      </x:c>
      <x:c r="AQ5" s="13" t="str">
        <x:v>Yes</x:v>
      </x:c>
      <x:c r="AR5" s="13" t="str">
        <x:v>Reconstructs occluded cloth geometry and plans with a learned full-mesh dynamics model for cloth smoothing and canonicalization.</x:v>
      </x:c>
      <x:c r="AS5" s="13" t="str">
        <x:v>Combines full-mesh occlusion reasoning with self-supervised test-time refinement before model-based action selection.</x:v>
      </x:c>
      <x:c r="AT5" s="13" t="str">
        <x:v>Reconstruction, test-time refinement, and planning are computationally expensive; real failures arise from cloth deformation during grasping and grasping the wrong number of layers.</x:v>
      </x:c>
      <x:c r="AU5" s="13" t="str">
        <x:v>Not explicitly stated; the reported limitations motivate faster planning, improved reconstruction, and more reliable cloth-layer grasping.</x:v>
      </x:c>
      <x:c r="AV5" s="13" t="str">
        <x:v>A learned GNN predicts cloth-mesh evolution under pick-and-place actions.</x:v>
      </x:c>
      <x:c r="AW5" s="13" t="str">
        <x:v>The system randomly samples 500 candidate actions, rolls each through the mesh dynamics model, and executes the highest-reward action.</x:v>
      </x:c>
      <x:c r="AX5" s="13" t="str">
        <x:v>The explicit planner horizon is one pick-and-place action, although real episodes may use up to ten actions.</x:v>
      </x:c>
      <x:c r="AY5" s="13" t="str">
        <x:v>High</x:v>
      </x:c>
      <x:c r="AZ5" s="13" t="str">
        <x:v>Core structured world-model and MPC paper; classify planning horizon as Short, not by total episode length.</x:v>
      </x:c>
      <x:c r="BA5" s="13" t="str">
        <x:v>Mesh-based Dynamics with Occlusion Reasoning for Cloth Manipulation.txt</x:v>
      </x:c>
    </x:row>
    <x:row r="6">
      <x:c r="A6" s="13" t="str">
        <x:v>batch_07</x:v>
      </x:c>
      <x:c r="B6" s="13" t="str">
        <x:v>B07-005</x:v>
      </x:c>
      <x:c r="C6" s="13" t="str">
        <x:v>MimicPlay: Long-Horizon Imitation Learning by Watching Human Play</x:v>
      </x:c>
      <x:c r="D6" s="13" t="str">
        <x:v>Chen Wang; Linxi Fan; Jiankai Sun; Ruohan Zhang; Li Fei-Fei; Danfei Xu; Yuke Zhu; Anima Anandkumar</x:v>
      </x:c>
      <x:c r="E6" s="13" t="n">
        <x:v>2023</x:v>
      </x:c>
      <x:c r="F6" s="13" t="str">
        <x:v>First public appearance: arXiv:2302.12422 in Feb 2023; published at CoRL 2023</x:v>
      </x:c>
      <x:c r="G6" s="13" t="str">
        <x:v>Conference on Robot Learning (CoRL)</x:v>
      </x:c>
      <x:c r="H6" s="13" t="str">
        <x:v>Peer-reviewed conference article</x:v>
      </x:c>
      <x:c r="I6" s="13" t="str">
        <x:v>Method</x:v>
      </x:c>
      <x:c r="J6" s="13" t="str"/>
      <x:c r="K6" s="13" t="str">
        <x:v>arXiv:2302.12422</x:v>
      </x:c>
      <x:c r="L6" s="13" t="str">
        <x:v>Yes</x:v>
      </x:c>
      <x:c r="M6" s="13" t="str">
        <x:v>Code and videos are released through the MimicPlay project website.</x:v>
      </x:c>
      <x:c r="N6" s="13" t="str">
        <x:v>Long-Horizon Manipulation; Imitation Learning</x:v>
      </x:c>
      <x:c r="O6" s="13" t="str">
        <x:v>Hierarchical Imitation Learning; Planning; Learning from Human Video</x:v>
      </x:c>
      <x:c r="P6" s="13" t="str">
        <x:v>Yes</x:v>
      </x:c>
      <x:c r="Q6" s="13" t="str">
        <x:v>No</x:v>
      </x:c>
      <x:c r="R6" s="13" t="str">
        <x:v>No</x:v>
      </x:c>
      <x:c r="S6" s="13" t="str">
        <x:v>No</x:v>
      </x:c>
      <x:c r="T6" s="13" t="str">
        <x:v>None</x:v>
      </x:c>
      <x:c r="U6" s="13" t="str">
        <x:v>N/A — the high-level model predicts latent 3D hand-trajectory plans, not environment transitions.</x:v>
      </x:c>
      <x:c r="V6" s="13" t="str">
        <x:v>N/A</x:v>
      </x:c>
      <x:c r="W6" s="13" t="str">
        <x:v>Goal-conditioned 3D hand trajectory and robot actions</x:v>
      </x:c>
      <x:c r="X6" s="13" t="str">
        <x:v>No</x:v>
      </x:c>
      <x:c r="Y6" s="13" t="str">
        <x:v>No</x:v>
      </x:c>
      <x:c r="Z6" s="13" t="str">
        <x:v>Yes</x:v>
      </x:c>
      <x:c r="AA6" s="13" t="str">
        <x:v>Hierarchical; Learned Latent Planner</x:v>
      </x:c>
      <x:c r="AB6" s="13" t="str">
        <x:v>Latent 3D hand-trajectory plan</x:v>
      </x:c>
      <x:c r="AC6" s="13" t="str">
        <x:v>Long</x:v>
      </x:c>
      <x:c r="AD6" s="13" t="str">
        <x:v>Evaluation tasks span 2,000–4,000 control steps, 100–200 seconds, and at least three subgoals.</x:v>
      </x:c>
      <x:c r="AE6" s="13" t="str">
        <x:v>Yes</x:v>
      </x:c>
      <x:c r="AF6" s="13" t="str">
        <x:v>Yes — the latent planner and controller operate in closed loop at approximately 17 Hz</x:v>
      </x:c>
      <x:c r="AG6" s="13" t="str">
        <x:v>High-Level Planner</x:v>
      </x:c>
      <x:c r="AH6" s="13" t="str">
        <x:v>Imitation Learning from Human Play and Teleoperated Robot Demonstrations</x:v>
      </x:c>
      <x:c r="AI6" s="13" t="str">
        <x:v>Hierarchical Transformer-GMM Visuomotor Policy</x:v>
      </x:c>
      <x:c r="AJ6" s="13" t="str">
        <x:v>Yes — the high-level latent planner is trained first on human play and then frozen for low-level policy training</x:v>
      </x:c>
      <x:c r="AK6" s="13" t="str">
        <x:v>Multi-view human RGB video; robot current image; wrist RGB; proprioception</x:v>
      </x:c>
      <x:c r="AL6" s="13" t="str">
        <x:v>Goal image or human/robot task video prompt</x:v>
      </x:c>
      <x:c r="AM6" s="13" t="str">
        <x:v>Continuous 6-DoF end-effector and gripper commands</x:v>
      </x:c>
      <x:c r="AN6" s="13" t="str">
        <x:v>Fourteen real-world tasks across kitchen, study desk, flower, whiteboard, sandwich, and cloth environments</x:v>
      </x:c>
      <x:c r="AO6" s="13" t="str">
        <x:v>Franka Emika Panda</x:v>
      </x:c>
      <x:c r="AP6" s="13" t="str">
        <x:v>Yes — supplementary simulation experiments; primary evaluation is real-world</x:v>
      </x:c>
      <x:c r="AQ6" s="13" t="str">
        <x:v>Yes</x:v>
      </x:c>
      <x:c r="AR6" s="13" t="str">
        <x:v>Learns high-level latent plans from inexpensive human play video and uses a small amount of robot teleoperation data to train long-horizon low-level control.</x:v>
      </x:c>
      <x:c r="AS6" s="13" t="str">
        <x:v>Separates data sources by hierarchy level and bridges human and robot embodiments through goal-conditioned 3D hand-trajectory latent plans.</x:v>
      </x:c>
      <x:c r="AT6" s="13" t="str">
        <x:v>The planner is scene-specific, tasks are tabletop-only, and cross-embodiment representation learning remains limited.</x:v>
      </x:c>
      <x:c r="AU6" s="13" t="str">
        <x:v>Scale to internet video, mobile manipulation, temporal contrastive learning, and cycle-consistent cross-embodiment representations.</x:v>
      </x:c>
      <x:c r="AV6" s="13" t="str">
        <x:v>The high-level network predicts human-motion plans and the low-level policy predicts robot actions; neither predicts environment dynamics.</x:v>
      </x:c>
      <x:c r="AW6" s="13" t="str">
        <x:v>A goal-conditioned high-level latent planner guides a separate low-level visuomotor controller throughout execution.</x:v>
      </x:c>
      <x:c r="AX6" s="13" t="str">
        <x:v>The paper evaluates fourteen multi-subgoal real tasks lasting 100–200 seconds and 2,000–4,000 action steps.</x:v>
      </x:c>
      <x:c r="AY6" s="13" t="str">
        <x:v>High</x:v>
      </x:c>
      <x:c r="AZ6" s="13" t="str">
        <x:v>Core learned hierarchical long-horizon planner, but not a world model or search-based planner.</x:v>
      </x:c>
      <x:c r="BA6" s="13" t="str">
        <x:v>MimicPlay_ Long-Horizon Imitation Learning by Watching Human Play.txt</x:v>
      </x:c>
    </x:row>
  </x:sheetData>
  <x:pageMargins left="0.7" right="0.7" top="0.75" bottom="0.75" header="0.3" footer="0.3"/>
  <x:tableParts count="1">
    <x:tablePart xmlns:r="http://schemas.openxmlformats.org/officeDocument/2006/relationships" r:id="R60f7e8d3e9aa41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0" hidden="0" customWidth="1"/>
    <x:col min="4" max="4" width="54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public preprint or online-publication year; preserve later venue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Benchmark and survey papers are excluded from proposed-method counts.</x:v>
      </x:c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Separate task horizon from explicit planner horizon.</x:v>
      </x:c>
    </x:row>
    <x:row r="7">
      <x:c r="A7" s="13" t="str">
        <x:v>uses_world_model</x:v>
      </x:c>
      <x:c r="B7" s="13" t="str">
        <x:v>Whether the method learns predictive environment evolution</x:v>
      </x:c>
      <x:c r="C7" s="13" t="str">
        <x:v>Yes; No; Ambiguous; N/A</x:v>
      </x:c>
      <x:c r="D7" s="13" t="str">
        <x:v>Latent plans, symbolic models, and memory without prediction are not sufficient.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the method explicitly decomposes or optimizes behavior</x:v>
      </x:c>
      <x:c r="C9" s="13" t="str">
        <x:v>Yes; No; N/A</x:v>
      </x:c>
      <x:c r="D9" s="13" t="str">
        <x:v>Includes structured learned high-level planners; excludes evaluation-only world models.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Random Shooting; MPPI; CEM; Tree Search; RRT; Hierarchical; Language Planner; Learned Latent Planner; None; N/A</x:v>
      </x:c>
      <x:c r="D10" s="13" t="str"/>
    </x:row>
    <x:row r="11">
      <x:c r="A11" s="13" t="str">
        <x:v>planning_horizon</x:v>
      </x:c>
      <x:c r="B11" s="13" t="str">
        <x:v>Horizon of an explicit planner or task-level decomposition</x:v>
      </x:c>
      <x:c r="C11" s="13" t="str">
        <x:v>None; Short; Medium; Long; N/A</x:v>
      </x:c>
      <x:c r="D11" s="13" t="str">
        <x:v>Short &lt;10 actions; Medium 10–50; Long &gt;50 or task-level symbolic/latent planning.</x:v>
      </x:c>
    </x:row>
    <x:row r="12">
      <x:c r="A12" s="13" t="str">
        <x:v>planning_role</x:v>
      </x:c>
      <x:c r="B12" s="13" t="str">
        <x:v>Where planning occurs in the hierarchy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the plan or action is refreshed from execution feedback</x:v>
      </x:c>
      <x:c r="C13" s="13" t="str">
        <x:v>Yes; No; No / Unclear; N/A; qualified text</x:v>
      </x:c>
      <x:c r="D13" s="13" t="str">
        <x:v>Preserve whether this is global replanning, runtime skill adaptation, or direct policy refresh.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Used to preserve classical, learned, world-model, and policy distinctions.</x:v>
      </x:c>
    </x:row>
  </x:sheetData>
  <x:pageMargins left="0.7" right="0.7" top="0.75" bottom="0.75" header="0.3" footer="0.3"/>
  <x:tableParts count="1">
    <x:tablePart xmlns:r="http://schemas.openxmlformats.org/officeDocument/2006/relationships" r:id="Re911a49f7e034a09"/>
  </x:tableParts>
</x:worksheet>
</file>