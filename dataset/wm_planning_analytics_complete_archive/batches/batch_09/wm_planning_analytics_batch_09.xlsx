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90c093fbe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4ab2749c6b34ba9"/>
    <x:sheet xmlns:r="http://schemas.openxmlformats.org/officeDocument/2006/relationships" name="Annotations" sheetId="2" r:id="Rae2474290055472a"/>
    <x:sheet xmlns:r="http://schemas.openxmlformats.org/officeDocument/2006/relationships" name="Taxonomy" sheetId="3" r:id="R754e387f908a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069ebb40e4d80" /><Relationship Type="http://schemas.openxmlformats.org/officeDocument/2006/relationships/theme" Target="/xl/theme/theme1.xml" Id="R29cf1becd5eb467a" /><Relationship Type="http://schemas.openxmlformats.org/officeDocument/2006/relationships/sharedStrings" Target="/xl/sharedStrings.xml" Id="Rf91b2ac3c64341d8" /><Relationship Type="http://schemas.openxmlformats.org/officeDocument/2006/relationships/worksheet" Target="/xl/worksheets/sheet1.xml" Id="R24ab2749c6b34ba9" /><Relationship Type="http://schemas.openxmlformats.org/officeDocument/2006/relationships/worksheet" Target="/xl/worksheets/sheet2.xml" Id="Rae2474290055472a" /><Relationship Type="http://schemas.openxmlformats.org/officeDocument/2006/relationships/worksheet" Target="/xl/worksheets/sheet3.xml" Id="R754e387f908a4b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e9e6618c7946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Corpus by First-Publication Year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Methods</c:v>
          </c:tx>
          <c:cat>
            <c:strRef>
              <c:f>'Dashboard'!$A$19:$A$22</c:f>
              <c:strCache>
                <c:ptCount val="0"/>
              </c:strCache>
            </c:strRef>
          </c:cat>
          <c:val>
            <c:numRef>
              <c:f>'Dashboard'!$B$19:$B$22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Surveys</c:v>
          </c:tx>
          <c:cat>
            <c:strRef>
              <c:f>'Dashboard'!$A$19:$A$22</c:f>
              <c:strCache>
                <c:ptCount val="0"/>
              </c:strCache>
            </c:strRef>
          </c:cat>
          <c:val>
            <c:numRef>
              <c:f>'Dashboard'!$C$19:$C$22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Benchmarks</c:v>
          </c:tx>
          <c:cat>
            <c:strRef>
              <c:f>'Dashboard'!$A$19:$A$22</c:f>
              <c:strCache>
                <c:ptCount val="0"/>
              </c:strCache>
            </c:strRef>
          </c:cat>
          <c:val>
            <c:numRef>
              <c:f>'Dashboard'!$D$19:$D$22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Datasets</c:v>
          </c:tx>
          <c:cat>
            <c:strRef>
              <c:f>'Dashboard'!$A$19:$A$22</c:f>
              <c:strCache>
                <c:ptCount val="0"/>
              </c:strCache>
            </c:strRef>
          </c:cat>
          <c:val>
            <c:numRef>
              <c:f>'Dashboard'!$E$19:$E$22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16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e9e6618c79467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tch09Annotations" displayName="Batch09Annotations" ref="A1:BA6" headerRowCount="1">
  <x:tableColumns count="53">
    <x:tableColumn id="1" name="batch_id"/>
    <x:tableColumn id="2" name="paper_id"/>
    <x:tableColumn id="3" name="title"/>
    <x:tableColumn id="4" name="authors"/>
    <x:tableColumn id="5" name="year"/>
    <x:tableColumn id="6" name="year_basis"/>
    <x:tableColumn id="7" name="venue"/>
    <x:tableColumn id="8" name="publication_status"/>
    <x:tableColumn id="9" name="paper_type"/>
    <x:tableColumn id="10" name="citation_count"/>
    <x:tableColumn id="11" name="doi_or_identifier"/>
    <x:tableColumn id="12" name="open_source"/>
    <x:tableColumn id="13" name="open_source_notes"/>
    <x:tableColumn id="14" name="task_domain"/>
    <x:tableColumn id="15" name="primary_problem"/>
    <x:tableColumn id="16" name="long_horizon"/>
    <x:tableColumn id="17" name="language_conditioned"/>
    <x:tableColumn id="18" name="human_robot_interaction"/>
    <x:tableColumn id="19" name="uses_world_model"/>
    <x:tableColumn id="20" name="world_model_family"/>
    <x:tableColumn id="21" name="world_model_detail"/>
    <x:tableColumn id="22" name="predictive_space"/>
    <x:tableColumn id="23" name="prediction_target"/>
    <x:tableColumn id="24" name="action_conditioned"/>
    <x:tableColumn id="25" name="video_prediction"/>
    <x:tableColumn id="26" name="uses_planning"/>
    <x:tableColumn id="27" name="planning_method"/>
    <x:tableColumn id="28" name="planning_representation"/>
    <x:tableColumn id="29" name="planning_horizon"/>
    <x:tableColumn id="30" name="horizon_basis"/>
    <x:tableColumn id="31" name="hierarchical_planning"/>
    <x:tableColumn id="32" name="replanning_online"/>
    <x:tableColumn id="33" name="planning_role"/>
    <x:tableColumn id="34" name="learning_type"/>
    <x:tableColumn id="35" name="policy_type"/>
    <x:tableColumn id="36" name="pretraining"/>
    <x:tableColumn id="37" name="observation_modality"/>
    <x:tableColumn id="38" name="goal_representation"/>
    <x:tableColumn id="39" name="action_space"/>
    <x:tableColumn id="40" name="benchmark"/>
    <x:tableColumn id="41" name="robot_platform"/>
    <x:tableColumn id="42" name="simulation"/>
    <x:tableColumn id="43" name="real_robot"/>
    <x:tableColumn id="44" name="main_contribution"/>
    <x:tableColumn id="45" name="novelty"/>
    <x:tableColumn id="46" name="limitations"/>
    <x:tableColumn id="47" name="future_work"/>
    <x:tableColumn id="48" name="evidence_world_model"/>
    <x:tableColumn id="49" name="evidence_planning"/>
    <x:tableColumn id="50" name="evidence_horizon"/>
    <x:tableColumn id="51" name="confidence"/>
    <x:tableColumn id="52" name="review_flags"/>
    <x:tableColumn id="53" name="source_document"/>
  </x:tableColumns>
  <x:tableStyleInfo name="TableStyleMedium2" showRowStripes="1"/>
</x:table>
</file>

<file path=xl/tables/table2.xml><?xml version="1.0" encoding="utf-8"?>
<x:table xmlns:x="http://schemas.openxmlformats.org/spreadsheetml/2006/main" id="2" name="Batch09AnnotationsTaxonomy" displayName="Batch09AnnotationsTaxonomy" ref="A1:D15" headerRowCount="1">
  <x:tableColumns count="4">
    <x:tableColumn id="1" name="Field"/>
    <x:tableColumn id="2" name="Definition"/>
    <x:tableColumn id="3" name="Allowed / normalized values"/>
    <x:tableColumn id="4" name="Annota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baa84ef07b4f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4d94620dcb43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4e5ff0df5c49bc" /></Relationships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6" hidden="0" customWidth="1"/>
    <x:col min="3" max="3" width="5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8" t="str">
        <x:v>WM &amp; Planning Analytics — Batch 09</x:v>
      </x:c>
      <x:c r="B1" s="28"/>
      <x:c r="C1" s="28"/>
      <x:c r="D1" s="28"/>
      <x:c r="E1" s="28"/>
      <x:c r="F1" s="28"/>
      <x:c r="G1" s="28"/>
      <x:c r="H1" s="28"/>
      <x:c r="I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4">
      <x:c r="A4" s="35" t="str">
        <x:v>Total papers</x:v>
      </x:c>
      <x:c r="B4" s="43" t="n">
        <x:f>COUNTA(Annotations!$C:$C)-1</x:f>
        <x:v>5</x:v>
      </x:c>
      <x:c r="D4" s="48" t="str">
        <x:v>Batch 09 interpretation notes</x:v>
      </x:c>
      <x:c r="E4" s="48"/>
      <x:c r="F4" s="48"/>
      <x:c r="G4" s="48"/>
      <x:c r="H4" s="48"/>
    </x:row>
    <x:row r="5">
      <x:c r="A5" s="35" t="str">
        <x:v>Method papers</x:v>
      </x:c>
      <x:c r="B5" s="43" t="n">
        <x:f>COUNTIF(Annotations!$I:$I,"Method")</x:f>
        <x:v>2</x:v>
      </x:c>
      <x:c r="D5" s="52" t="str">
        <x:v>• The POMDP paper is foundational planning-under-uncertainty background and is excluded from method counts.
• PIVOT-R predicts future waypoint features, so it is a strict world model; direct action decoding means it is not an explicit planner.
• SeaWave's four levels measure language and visual complexity, not long-horizon task duration.
• The N-arm paper is recorded as 2014, matching the original RSS publication rather than the 2015 short version.
• The elderly-care review is retained only as peripheral HRI and safety context.</x:v>
      </x:c>
      <x:c r="E5" s="52"/>
      <x:c r="F5" s="52"/>
      <x:c r="G5" s="52"/>
      <x:c r="H5" s="52"/>
    </x:row>
    <x:row r="6">
      <x:c r="A6" s="35" t="str">
        <x:v>Survey papers</x:v>
      </x:c>
      <x:c r="B6" s="43" t="n">
        <x:f>COUNTIF(Annotations!$I:$I,"Survey")</x:f>
        <x:v>3</x:v>
      </x:c>
      <x:c r="D6" s="52"/>
      <x:c r="E6" s="52"/>
      <x:c r="F6" s="52"/>
      <x:c r="G6" s="52"/>
      <x:c r="H6" s="52"/>
    </x:row>
    <x:row r="7">
      <x:c r="A7" s="35" t="str">
        <x:v>Benchmark papers</x:v>
      </x:c>
      <x:c r="B7" s="43" t="n">
        <x:f>COUNTIF(Annotations!$I:$I,"Benchmark")</x:f>
        <x:v>0</x:v>
      </x:c>
      <x:c r="D7" s="52"/>
      <x:c r="E7" s="52"/>
      <x:c r="F7" s="52"/>
      <x:c r="G7" s="52"/>
      <x:c r="H7" s="52"/>
    </x:row>
    <x:row r="8">
      <x:c r="A8" s="35" t="str">
        <x:v>Dataset papers</x:v>
      </x:c>
      <x:c r="B8" s="43" t="n">
        <x:f>COUNTIF(Annotations!$I:$I,"Dataset")</x:f>
        <x:v>0</x:v>
      </x:c>
      <x:c r="D8" s="52"/>
      <x:c r="E8" s="52"/>
      <x:c r="F8" s="52"/>
      <x:c r="G8" s="52"/>
      <x:c r="H8" s="52"/>
    </x:row>
    <x:row r="9">
      <x:c r="A9" s="35" t="str">
        <x:v>Method papers using world models</x:v>
      </x:c>
      <x:c r="B9" s="43" t="n">
        <x:f>COUNTIFS(Annotations!$I:$I,"Method",Annotations!$S:$S,"Yes")</x:f>
        <x:v>1</x:v>
      </x:c>
      <x:c r="D9" s="52"/>
      <x:c r="E9" s="52"/>
      <x:c r="F9" s="52"/>
      <x:c r="G9" s="52"/>
      <x:c r="H9" s="52"/>
    </x:row>
    <x:row r="10">
      <x:c r="A10" s="35" t="str">
        <x:v>Definition-sensitive WM papers</x:v>
      </x:c>
      <x:c r="B10" s="43" t="n">
        <x:f>COUNTIFS(Annotations!$I:$I,"Method",Annotations!$S:$S,"Ambiguous")</x:f>
        <x:v>0</x:v>
      </x:c>
      <x:c r="D10" s="52"/>
      <x:c r="E10" s="52"/>
      <x:c r="F10" s="52"/>
      <x:c r="G10" s="52"/>
      <x:c r="H10" s="52"/>
    </x:row>
    <x:row r="11">
      <x:c r="A11" s="35" t="str">
        <x:v>Method papers with explicit planning</x:v>
      </x:c>
      <x:c r="B11" s="43" t="n">
        <x:f>COUNTIFS(Annotations!$I:$I,"Method",Annotations!$Z:$Z,"Yes")</x:f>
        <x:v>1</x:v>
      </x:c>
      <x:c r="D11" s="52"/>
      <x:c r="E11" s="52"/>
      <x:c r="F11" s="52"/>
      <x:c r="G11" s="52"/>
      <x:c r="H11" s="52"/>
    </x:row>
    <x:row r="12">
      <x:c r="A12" s="35" t="str">
        <x:v>Long-horizon method papers</x:v>
      </x:c>
      <x:c r="B12" s="43" t="n">
        <x:f>COUNTIFS(Annotations!$I:$I,"Method",Annotations!$P:$P,"Yes")</x:f>
        <x:v>0</x:v>
      </x:c>
      <x:c r="D12" s="52"/>
      <x:c r="E12" s="52"/>
      <x:c r="F12" s="52"/>
      <x:c r="G12" s="52"/>
      <x:c r="H12" s="52"/>
    </x:row>
    <x:row r="13">
      <x:c r="A13" s="35" t="str">
        <x:v>Long-horizon benchmark papers</x:v>
      </x:c>
      <x:c r="B13" s="43" t="n">
        <x:f>COUNTIFS(Annotations!$I:$I,"Benchmark",Annotations!$P:$P,"Yes")</x:f>
        <x:v>0</x:v>
      </x:c>
    </x:row>
    <x:row r="14">
      <x:c r="A14" s="35" t="str">
        <x:v>Method papers with real-robot evaluation</x:v>
      </x:c>
      <x:c r="B14" s="43" t="n">
        <x:f>COUNTIFS(Annotations!$I:$I,"Method",Annotations!$AQ:$AQ,"Yes")</x:f>
        <x:v>1</x:v>
      </x:c>
    </x:row>
    <x:row r="15">
      <x:c r="A15" s="35" t="str">
        <x:v>High-confidence rows</x:v>
      </x:c>
      <x:c r="B15" s="43" t="n">
        <x:f>COUNTIF(Annotations!$AY:$AY,"High")</x:f>
        <x:v>5</x:v>
      </x:c>
    </x:row>
    <x:row r="18">
      <x:c r="A18" s="48" t="str">
        <x:v>Year</x:v>
      </x:c>
      <x:c r="B18" s="48" t="str">
        <x:v>Methods</x:v>
      </x:c>
      <x:c r="C18" s="48" t="str">
        <x:v>Surveys</x:v>
      </x:c>
      <x:c r="D18" s="48" t="str">
        <x:v>Benchmarks</x:v>
      </x:c>
      <x:c r="E18" s="48" t="str">
        <x:v>Datasets</x:v>
      </x:c>
    </x:row>
    <x:row r="19">
      <x:c r="A19" s="57" t="n">
        <x:v>2014</x:v>
      </x:c>
      <x:c r="B19" s="57" t="n">
        <x:f>COUNTIFS(Annotations!$E:$E,A19,Annotations!$I:$I,"Method")</x:f>
        <x:v>1</x:v>
      </x:c>
      <x:c r="C19" s="57" t="n">
        <x:f>COUNTIFS(Annotations!$E:$E,A19,Annotations!$I:$I,"Survey")</x:f>
        <x:v>0</x:v>
      </x:c>
      <x:c r="D19" s="57" t="n">
        <x:f>COUNTIFS(Annotations!$E:$E,A19,Annotations!$I:$I,"Benchmark")</x:f>
        <x:v>0</x:v>
      </x:c>
      <x:c r="E19" s="57" t="n">
        <x:f>COUNTIFS(Annotations!$E:$E,A19,Annotations!$I:$I,"Dataset")</x:f>
        <x:v>0</x:v>
      </x:c>
    </x:row>
    <x:row r="20">
      <x:c r="A20" s="57" t="n">
        <x:v>2022</x:v>
      </x:c>
      <x:c r="B20" s="57" t="n">
        <x:f>COUNTIFS(Annotations!$E:$E,A20,Annotations!$I:$I,"Method")</x:f>
        <x:v>0</x:v>
      </x:c>
      <x:c r="C20" s="57" t="n">
        <x:f>COUNTIFS(Annotations!$E:$E,A20,Annotations!$I:$I,"Survey")</x:f>
        <x:v>1</x:v>
      </x:c>
      <x:c r="D20" s="57" t="n">
        <x:f>COUNTIFS(Annotations!$E:$E,A20,Annotations!$I:$I,"Benchmark")</x:f>
        <x:v>0</x:v>
      </x:c>
      <x:c r="E20" s="57" t="n">
        <x:f>COUNTIFS(Annotations!$E:$E,A20,Annotations!$I:$I,"Dataset")</x:f>
        <x:v>0</x:v>
      </x:c>
    </x:row>
    <x:row r="21">
      <x:c r="A21" s="57" t="n">
        <x:v>2023</x:v>
      </x:c>
      <x:c r="B21" s="57" t="n">
        <x:f>COUNTIFS(Annotations!$E:$E,A21,Annotations!$I:$I,"Method")</x:f>
        <x:v>0</x:v>
      </x:c>
      <x:c r="C21" s="57" t="n">
        <x:f>COUNTIFS(Annotations!$E:$E,A21,Annotations!$I:$I,"Survey")</x:f>
        <x:v>1</x:v>
      </x:c>
      <x:c r="D21" s="57" t="n">
        <x:f>COUNTIFS(Annotations!$E:$E,A21,Annotations!$I:$I,"Benchmark")</x:f>
        <x:v>0</x:v>
      </x:c>
      <x:c r="E21" s="57" t="n">
        <x:f>COUNTIFS(Annotations!$E:$E,A21,Annotations!$I:$I,"Dataset")</x:f>
        <x:v>0</x:v>
      </x:c>
    </x:row>
    <x:row r="22">
      <x:c r="A22" s="57" t="n">
        <x:v>2024</x:v>
      </x:c>
      <x:c r="B22" s="57" t="n">
        <x:f>COUNTIFS(Annotations!$E:$E,A22,Annotations!$I:$I,"Method")</x:f>
        <x:v>1</x:v>
      </x:c>
      <x:c r="C22" s="57" t="n">
        <x:f>COUNTIFS(Annotations!$E:$E,A22,Annotations!$I:$I,"Survey")</x:f>
        <x:v>1</x:v>
      </x:c>
      <x:c r="D22" s="57" t="n">
        <x:f>COUNTIFS(Annotations!$E:$E,A22,Annotations!$I:$I,"Benchmark")</x:f>
        <x:v>0</x:v>
      </x:c>
      <x:c r="E22" s="57" t="n">
        <x:f>COUNTIFS(Annotations!$E:$E,A22,Annotations!$I:$I,"Dataset")</x:f>
        <x:v>0</x:v>
      </x:c>
    </x:row>
    <x:row r="25">
      <x:c r="A25" s="48" t="str">
        <x:v>World-model status</x:v>
      </x:c>
      <x:c r="B25" s="48" t="str">
        <x:v>Method count</x:v>
      </x:c>
      <x:c r="C25" s="48" t="str">
        <x:v>Interpretation</x:v>
      </x:c>
    </x:row>
    <x:row r="26">
      <x:c r="A26" s="13" t="str">
        <x:v>Yes</x:v>
      </x:c>
      <x:c r="B26" s="13" t="n">
        <x:f>COUNTIFS(Annotations!$I:$I,"Method",Annotations!$S:$S,A26)</x:f>
        <x:v>1</x:v>
      </x:c>
      <x:c r="C26" s="13" t="str">
        <x:v>Strict predictive environment model</x:v>
      </x:c>
    </x:row>
    <x:row r="27">
      <x:c r="A27" s="13" t="str">
        <x:v>Ambiguous</x:v>
      </x:c>
      <x:c r="B27" s="13" t="n">
        <x:f>COUNTIFS(Annotations!$I:$I,"Method",Annotations!$S:$S,A27)</x:f>
        <x:v>0</x:v>
      </x:c>
      <x:c r="C27" s="13" t="str">
        <x:v>World-model terminology without explicit environment prediction</x:v>
      </x:c>
    </x:row>
    <x:row r="28">
      <x:c r="A28" s="13" t="str">
        <x:v>No</x:v>
      </x:c>
      <x:c r="B28" s="13" t="n">
        <x:f>COUNTIFS(Annotations!$I:$I,"Method",Annotations!$S:$S,A28)</x:f>
        <x:v>1</x:v>
      </x:c>
      <x:c r="C28" s="13" t="str">
        <x:v>No learned downstream predictive environment model</x:v>
      </x:c>
    </x:row>
  </x:sheetData>
  <x:mergeCells>
    <x:mergeCell ref="A1:I2"/>
    <x:mergeCell ref="D4:H4"/>
    <x:mergeCell ref="D5:H12"/>
  </x:mergeCells>
  <x:pageMargins left="0.7" right="0.7" top="0.75" bottom="0.75" header="0.3" footer="0.3"/>
  <x:drawing xmlns:r="http://schemas.openxmlformats.org/officeDocument/2006/relationships" r:id="Rd1baa84ef07b4f10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8" hidden="0" customWidth="1"/>
    <x:col min="38" max="38" width="28" hidden="0" customWidth="1"/>
    <x:col min="39" max="39" width="18" hidden="0" customWidth="1"/>
    <x:col min="40" max="40" width="28" hidden="0" customWidth="1"/>
    <x:col min="41" max="41" width="28" hidden="0" customWidth="1"/>
    <x:col min="42" max="42" width="18" hidden="0" customWidth="1"/>
    <x:col min="43" max="43" width="18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34" hidden="0" customWidth="1"/>
    <x:col min="51" max="51" width="18" hidden="0" customWidth="1"/>
    <x:col min="52" max="52" width="34" hidden="0" customWidth="1"/>
    <x:col min="53" max="53" width="28" hidden="0" customWidth="1"/>
  </x:cols>
  <x:sheetData>
    <x:row r="1">
      <x:c r="A1" s="6" t="str">
        <x:v>batch_id</x:v>
      </x:c>
      <x:c r="B1" s="6" t="str">
        <x:v>paper_id</x:v>
      </x:c>
      <x:c r="C1" s="6" t="str">
        <x:v>title</x:v>
      </x:c>
      <x:c r="D1" s="6" t="str">
        <x:v>authors</x:v>
      </x:c>
      <x:c r="E1" s="6" t="str">
        <x:v>year</x:v>
      </x:c>
      <x:c r="F1" s="6" t="str">
        <x:v>year_basis</x:v>
      </x:c>
      <x:c r="G1" s="6" t="str">
        <x:v>venue</x:v>
      </x:c>
      <x:c r="H1" s="6" t="str">
        <x:v>publication_status</x:v>
      </x:c>
      <x:c r="I1" s="6" t="str">
        <x:v>paper_type</x:v>
      </x:c>
      <x:c r="J1" s="6" t="str">
        <x:v>citation_count</x:v>
      </x:c>
      <x:c r="K1" s="6" t="str">
        <x:v>doi_or_identifier</x:v>
      </x:c>
      <x:c r="L1" s="6" t="str">
        <x:v>open_source</x:v>
      </x:c>
      <x:c r="M1" s="6" t="str">
        <x:v>open_source_notes</x:v>
      </x:c>
      <x:c r="N1" s="6" t="str">
        <x:v>task_domain</x:v>
      </x:c>
      <x:c r="O1" s="6" t="str">
        <x:v>primary_problem</x:v>
      </x:c>
      <x:c r="P1" s="6" t="str">
        <x:v>long_horizon</x:v>
      </x:c>
      <x:c r="Q1" s="6" t="str">
        <x:v>language_conditioned</x:v>
      </x:c>
      <x:c r="R1" s="6" t="str">
        <x:v>human_robot_interaction</x:v>
      </x:c>
      <x:c r="S1" s="6" t="str">
        <x:v>uses_world_model</x:v>
      </x:c>
      <x:c r="T1" s="6" t="str">
        <x:v>world_model_family</x:v>
      </x:c>
      <x:c r="U1" s="6" t="str">
        <x:v>world_model_detail</x:v>
      </x:c>
      <x:c r="V1" s="6" t="str">
        <x:v>predictive_space</x:v>
      </x:c>
      <x:c r="W1" s="6" t="str">
        <x:v>prediction_target</x:v>
      </x:c>
      <x:c r="X1" s="6" t="str">
        <x:v>action_conditioned</x:v>
      </x:c>
      <x:c r="Y1" s="6" t="str">
        <x:v>video_prediction</x:v>
      </x:c>
      <x:c r="Z1" s="6" t="str">
        <x:v>uses_planning</x:v>
      </x:c>
      <x:c r="AA1" s="6" t="str">
        <x:v>planning_method</x:v>
      </x:c>
      <x:c r="AB1" s="6" t="str">
        <x:v>planning_representation</x:v>
      </x:c>
      <x:c r="AC1" s="6" t="str">
        <x:v>planning_horizon</x:v>
      </x:c>
      <x:c r="AD1" s="6" t="str">
        <x:v>horizon_basis</x:v>
      </x:c>
      <x:c r="AE1" s="6" t="str">
        <x:v>hierarchical_planning</x:v>
      </x:c>
      <x:c r="AF1" s="6" t="str">
        <x:v>replanning_online</x:v>
      </x:c>
      <x:c r="AG1" s="6" t="str">
        <x:v>planning_role</x:v>
      </x:c>
      <x:c r="AH1" s="6" t="str">
        <x:v>learning_type</x:v>
      </x:c>
      <x:c r="AI1" s="6" t="str">
        <x:v>policy_type</x:v>
      </x:c>
      <x:c r="AJ1" s="6" t="str">
        <x:v>pretraining</x:v>
      </x:c>
      <x:c r="AK1" s="6" t="str">
        <x:v>observation_modality</x:v>
      </x:c>
      <x:c r="AL1" s="6" t="str">
        <x:v>goal_representation</x:v>
      </x:c>
      <x:c r="AM1" s="6" t="str">
        <x:v>action_space</x:v>
      </x:c>
      <x:c r="AN1" s="6" t="str">
        <x:v>benchmark</x:v>
      </x:c>
      <x:c r="AO1" s="6" t="str">
        <x:v>robot_platform</x:v>
      </x:c>
      <x:c r="AP1" s="6" t="str">
        <x:v>simulation</x:v>
      </x:c>
      <x:c r="AQ1" s="6" t="str">
        <x:v>real_robot</x:v>
      </x:c>
      <x:c r="AR1" s="6" t="str">
        <x:v>main_contribution</x:v>
      </x:c>
      <x:c r="AS1" s="6" t="str">
        <x:v>novelty</x:v>
      </x:c>
      <x:c r="AT1" s="6" t="str">
        <x:v>limitations</x:v>
      </x:c>
      <x:c r="AU1" s="6" t="str">
        <x:v>future_work</x:v>
      </x:c>
      <x:c r="AV1" s="6" t="str">
        <x:v>evidence_world_model</x:v>
      </x:c>
      <x:c r="AW1" s="6" t="str">
        <x:v>evidence_planning</x:v>
      </x:c>
      <x:c r="AX1" s="6" t="str">
        <x:v>evidence_horizon</x:v>
      </x:c>
      <x:c r="AY1" s="6" t="str">
        <x:v>confidence</x:v>
      </x:c>
      <x:c r="AZ1" s="6" t="str">
        <x:v>review_flags</x:v>
      </x:c>
      <x:c r="BA1" s="6" t="str">
        <x:v>source_document</x:v>
      </x:c>
    </x:row>
    <x:row r="2">
      <x:c r="A2" s="13" t="str">
        <x:v>batch_09</x:v>
      </x:c>
      <x:c r="B2" s="13" t="str">
        <x:v>B09-001</x:v>
      </x:c>
      <x:c r="C2" s="13" t="str">
        <x:v>Partially Observable Markov Decision Processes in Robotics: A Survey</x:v>
      </x:c>
      <x:c r="D2" s="13" t="str">
        <x:v>Mikko Lauri; David Hsu; Joni Pajarinen</x:v>
      </x:c>
      <x:c r="E2" s="13" t="n">
        <x:v>2022</x:v>
      </x:c>
      <x:c r="F2" s="13" t="str">
        <x:v>First public appearance: arXiv:2209.10342 on 21 Sep 2022</x:v>
      </x:c>
      <x:c r="G2" s="13" t="str">
        <x:v>IEEE Transactions on Robotics</x:v>
      </x:c>
      <x:c r="H2" s="13" t="str">
        <x:v>Peer-reviewed journal survey / author manuscript</x:v>
      </x:c>
      <x:c r="I2" s="13" t="str">
        <x:v>Survey</x:v>
      </x:c>
      <x:c r="J2" s="13" t="str"/>
      <x:c r="K2" s="13" t="str">
        <x:v>arXiv:2209.10342</x:v>
      </x:c>
      <x:c r="L2" s="13" t="str">
        <x:v>Unknown</x:v>
      </x:c>
      <x:c r="M2" s="13" t="str">
        <x:v>No single companion implementation is associated with this broad survey.</x:v>
      </x:c>
      <x:c r="N2" s="13" t="str">
        <x:v>General Robotics; Planning Under Uncertainty</x:v>
      </x:c>
      <x:c r="O2" s="13" t="str">
        <x:v>Survey; POMDP Planning; Decision Making Under Uncertainty</x:v>
      </x:c>
      <x:c r="P2" s="13" t="str">
        <x:v>N/A — finite-, infinite-, and receding-horizon methods are reviewed</x:v>
      </x:c>
      <x:c r="Q2" s="13" t="str">
        <x:v>N/A</x:v>
      </x:c>
      <x:c r="R2" s="13" t="str">
        <x:v>N/A — HRI is one reviewed application area</x:v>
      </x:c>
      <x:c r="S2" s="13" t="str">
        <x:v>N/A — reviews explicit and learned transition, observation, and reward models</x:v>
      </x:c>
      <x:c r="T2" s="13" t="str">
        <x:v>N/A — probabilistic state-transition and observation models</x:v>
      </x:c>
      <x:c r="U2" s="13" t="str">
        <x:v>Reviews POMDP formulations that maintain belief states and reason using transition, observation, and reward models under partial observability.</x:v>
      </x:c>
      <x:c r="V2" s="13" t="str">
        <x:v>N/A</x:v>
      </x:c>
      <x:c r="W2" s="13" t="str">
        <x:v>N/A</x:v>
      </x:c>
      <x:c r="X2" s="13" t="str">
        <x:v>N/A</x:v>
      </x:c>
      <x:c r="Y2" s="13" t="str">
        <x:v>N/A</x:v>
      </x:c>
      <x:c r="Z2" s="13" t="str">
        <x:v>N/A — offline, online, sampling-based, and heuristic POMDP planners are reviewed</x:v>
      </x:c>
      <x:c r="AA2" s="13" t="str">
        <x:v>N/A</x:v>
      </x:c>
      <x:c r="AB2" s="13" t="str">
        <x:v>Belief state / probabilistic model</x:v>
      </x:c>
      <x:c r="AC2" s="13" t="str">
        <x:v>N/A</x:v>
      </x:c>
      <x:c r="AD2" s="13" t="str">
        <x:v>The survey covers finite-horizon, infinite-horizon, online receding-horizon, and temporally abstract planning.</x:v>
      </x:c>
      <x:c r="AE2" s="13" t="str">
        <x:v>N/A</x:v>
      </x:c>
      <x:c r="AF2" s="13" t="str">
        <x:v>N/A</x:v>
      </x:c>
      <x:c r="AG2" s="13" t="str">
        <x:v>N/A</x:v>
      </x:c>
      <x:c r="AH2" s="13" t="str">
        <x:v>N/A</x:v>
      </x:c>
      <x:c r="AI2" s="13" t="str">
        <x:v>N/A</x:v>
      </x:c>
      <x:c r="AJ2" s="13" t="str">
        <x:v>N/A</x:v>
      </x:c>
      <x:c r="AK2" s="13" t="str">
        <x:v>Multiple; potentially continuous and high dimensional</x:v>
      </x:c>
      <x:c r="AL2" s="13" t="str">
        <x:v>Expected cumulative reward under uncertainty</x:v>
      </x:c>
      <x:c r="AM2" s="13" t="str">
        <x:v>Multiple; discrete and continuous approaches reviewed</x:v>
      </x:c>
      <x:c r="AN2" s="13" t="str">
        <x:v>Applications across navigation, driving, search and tracking, manipulation, HRI, and multi-robot coordination</x:v>
      </x:c>
      <x:c r="AO2" s="13" t="str">
        <x:v>Multiple</x:v>
      </x:c>
      <x:c r="AP2" s="13" t="str">
        <x:v>Both / Survey</x:v>
      </x:c>
      <x:c r="AQ2" s="13" t="str">
        <x:v>Both / Survey</x:v>
      </x:c>
      <x:c r="AR2" s="13" t="str">
        <x:v>Connects POMDP theory and algorithms to practical modeling choices across six major robotics application areas.</x:v>
      </x:c>
      <x:c r="AS2" s="13" t="str">
        <x:v>Provides a robotics-centered synthesis of when POMDP structure is useful and how task characteristics affect model and solver selection.</x:v>
      </x:c>
      <x:c r="AT2" s="13" t="str">
        <x:v>POMDP deployment remains constrained by computational complexity, continuous and high-dimensional spaces, model acquisition, and gaps between assumed models and real systems.</x:v>
      </x:c>
      <x:c r="AU2" s="13" t="str">
        <x:v>Integrate model learning and planning more tightly, improve continuous-space and high-dimensional methods, and scale constrained POMDPs for safe robotics.</x:v>
      </x:c>
      <x:c r="AV2" s="13" t="str">
        <x:v>POMDP planning explicitly reasons through transition, observation, and reward models, which may be specified or learned, but this survey proposes no single world model.</x:v>
      </x:c>
      <x:c r="AW2" s="13" t="str">
        <x:v>The paper reviews exact, approximate, offline, online, Monte Carlo, and receding-horizon solution algorithms over belief states.</x:v>
      </x:c>
      <x:c r="AX2" s="13" t="str">
        <x:v>Both finite and infinite horizons, long-horizon abstraction, and online limited-horizon approximations are reviewed.</x:v>
      </x:c>
      <x:c r="AY2" s="13" t="str">
        <x:v>High</x:v>
      </x:c>
      <x:c r="AZ2" s="13" t="str">
        <x:v>Foundational planning-under-uncertainty survey; retain for theoretical framing but exclude from method and architecture counts.</x:v>
      </x:c>
      <x:c r="BA2" s="13" t="str">
        <x:v>Partially Observable Markov Decision Processes in Robotics_ A Survey.txt</x:v>
      </x:c>
    </x:row>
    <x:row r="3">
      <x:c r="A3" s="13" t="str">
        <x:v>batch_09</x:v>
      </x:c>
      <x:c r="B3" s="13" t="str">
        <x:v>B09-002</x:v>
      </x:c>
      <x:c r="C3" s="13" t="str">
        <x:v>PIVOT-R: Primitive-Driven Waypoint-Aware World Model for Robotic Manipulation</x:v>
      </x:c>
      <x:c r="D3" s="13" t="str">
        <x:v>Kaidong Zhang; Pengzhen Ren; Bingqian Lin; Junfan Lin; Shikui Ma; Hang Xu; Xiaodan Liang</x:v>
      </x:c>
      <x:c r="E3" s="13" t="n">
        <x:v>2024</x:v>
      </x:c>
      <x:c r="F3" s="13" t="str">
        <x:v>First public appearance: arXiv:2410.10394 in Oct 2024; published at NeurIPS 2024</x:v>
      </x:c>
      <x:c r="G3" s="13" t="str">
        <x:v>Advances in Neural Information Processing Systems (NeurIPS)</x:v>
      </x:c>
      <x:c r="H3" s="13" t="str">
        <x:v>Peer-reviewed conference article</x:v>
      </x:c>
      <x:c r="I3" s="13" t="str">
        <x:v>Method</x:v>
      </x:c>
      <x:c r="J3" s="13" t="str"/>
      <x:c r="K3" s="13" t="str">
        <x:v>arXiv:2410.10394</x:v>
      </x:c>
      <x:c r="L3" s="13" t="str">
        <x:v>Unknown</x:v>
      </x:c>
      <x:c r="M3" s="13" t="str">
        <x:v>A project website is provided, but a public code release was not established from the supplied manuscript.</x:v>
      </x:c>
      <x:c r="N3" s="13" t="str">
        <x:v>Language-Guided Manipulation; Vision-Language-Action Control</x:v>
      </x:c>
      <x:c r="O3" s="13" t="str">
        <x:v>World Modeling; Policy Learning; Waypoint Prediction; Efficient Execution</x:v>
      </x:c>
      <x:c r="P3" s="13" t="str">
        <x:v>No</x:v>
      </x:c>
      <x:c r="Q3" s="13" t="str">
        <x:v>Yes</x:v>
      </x:c>
      <x:c r="R3" s="13" t="str">
        <x:v>No</x:v>
      </x:c>
      <x:c r="S3" s="13" t="str">
        <x:v>Yes</x:v>
      </x:c>
      <x:c r="T3" s="13" t="str">
        <x:v>Latent Dynamics</x:v>
      </x:c>
      <x:c r="U3" s="13" t="str">
        <x:v>A VLM parses one of ten manipulation primitives, and a scene-prediction transformer predicts the CLIP feature of a task-relevant future waypoint for conditioning a lightweight action decoder.</x:v>
      </x:c>
      <x:c r="V3" s="13" t="str">
        <x:v>Latent / Observation</x:v>
      </x:c>
      <x:c r="W3" s="13" t="str">
        <x:v>Task-relevant future waypoint image feature</x:v>
      </x:c>
      <x:c r="X3" s="13" t="str">
        <x:v>Yes — conditioned on current observations, robot state, action history, and primitive prompt</x:v>
      </x:c>
      <x:c r="Y3" s="13" t="str">
        <x:v>No</x:v>
      </x:c>
      <x:c r="Z3" s="13" t="str">
        <x:v>No</x:v>
      </x:c>
      <x:c r="AA3" s="13" t="str">
        <x:v>None — primitive parsing and waypoint prediction feed a direct action policy without search or candidate rollout evaluation</x:v>
      </x:c>
      <x:c r="AB3" s="13" t="str">
        <x:v>N/A</x:v>
      </x:c>
      <x:c r="AC3" s="13" t="str">
        <x:v>None</x:v>
      </x:c>
      <x:c r="AD3" s="13" t="str">
        <x:v>The method predicts the next task-relevant waypoint and low-level action; SeaWave levels measure instruction complexity rather than temporal horizon.</x:v>
      </x:c>
      <x:c r="AE3" s="13" t="str">
        <x:v>No — modules run at different frequencies, but no separate task-level plan is optimized</x:v>
      </x:c>
      <x:c r="AF3" s="13" t="str">
        <x:v>Yes — primitive, waypoint, and action predictions are refreshed asynchronously from current observations</x:v>
      </x:c>
      <x:c r="AG3" s="13" t="str">
        <x:v>Local Controller</x:v>
      </x:c>
      <x:c r="AH3" s="13" t="str">
        <x:v>Imitation Learning; Latent Waypoint Prediction; Vision-Language Pretraining</x:v>
      </x:c>
      <x:c r="AI3" s="13" t="str">
        <x:v>Waypoint-Conditioned Vision-Language-Action Policy</x:v>
      </x:c>
      <x:c r="AJ3" s="13" t="str">
        <x:v>Yes — pretrained VLM and CLIP encoders</x:v>
      </x:c>
      <x:c r="AK3" s="13" t="str">
        <x:v>First- and third-person RGB; language; robot state; action history</x:v>
      </x:c>
      <x:c r="AL3" s="13" t="str">
        <x:v>Natural-language instruction parsed into manipulation primitives</x:v>
      </x:c>
      <x:c r="AM3" s="13" t="str">
        <x:v>Discretized delta position, delta Euler rotation, and binary gripper state</x:v>
      </x:c>
      <x:c r="AN3" s="13" t="str">
        <x:v>SeaWave four-level instruction benchmark; three custom real-world tasks</x:v>
      </x:c>
      <x:c r="AO3" s="13" t="str">
        <x:v>SeaWave simulated manipulator; real robot platform not specified in the extracted manuscript text</x:v>
      </x:c>
      <x:c r="AP3" s="13" t="str">
        <x:v>Yes</x:v>
      </x:c>
      <x:c r="AQ3" s="13" t="str">
        <x:v>Yes</x:v>
      </x:c>
      <x:c r="AR3" s="13" t="str">
        <x:v>Predicts sparse task-relevant visual waypoints rather than modeling every timestep, improving manipulation accuracy and execution efficiency.</x:v>
      </x:c>
      <x:c r="AS3" s="13" t="str">
        <x:v>Combines primitive-guided latent waypoint prediction with an asynchronous hierarchy whose modules run at different frequencies.</x:v>
      </x:c>
      <x:c r="AT3" s="13" t="str">
        <x:v>High-level primitive instructions and executed low-level actions can disagree, particularly for directional commands, and large action modules may overfit.</x:v>
      </x:c>
      <x:c r="AU3" s="13" t="str">
        <x:v>Strengthen consistency between high-level instructions and low-level execution so actions can adapt reliably to requested changes.</x:v>
      </x:c>
      <x:c r="AV3" s="13" t="str">
        <x:v>The scene module predicts the latent CLIP representation of a future waypoint state from current multimodal context.</x:v>
      </x:c>
      <x:c r="AW3" s="13" t="str">
        <x:v>No search, MPC, or multi-candidate rollout stage is used; the predicted waypoint directly conditions action decoding.</x:v>
      </x:c>
      <x:c r="AX3" s="13" t="str">
        <x:v>The benchmark contains individual manipulation skills with progressively harder language grounding, not long-horizon multi-stage tasks.</x:v>
      </x:c>
      <x:c r="AY3" s="13" t="str">
        <x:v>High</x:v>
      </x:c>
      <x:c r="AZ3" s="13" t="str">
        <x:v>Core predictive waypoint world model, but exclude from explicit-planner counts. Do not interpret SeaWave Level 4 as long-horizon.</x:v>
      </x:c>
      <x:c r="BA3" s="13" t="str">
        <x:v>PIVOT-R_ Primitive-Driven Waypoint-Aware World Model for Robotic Manipulation.txt</x:v>
      </x:c>
    </x:row>
    <x:row r="4">
      <x:c r="A4" s="13" t="str">
        <x:v>batch_09</x:v>
      </x:c>
      <x:c r="B4" s="13" t="str">
        <x:v>B09-003</x:v>
      </x:c>
      <x:c r="C4" s="13" t="str">
        <x:v>Planning Single-Arm Manipulations with N-Arm Robots</x:v>
      </x:c>
      <x:c r="D4" s="13" t="str">
        <x:v>Benjamin Cohen; Mike Phillips; Maxim Likhachev</x:v>
      </x:c>
      <x:c r="E4" s="13" t="n">
        <x:v>2014</x:v>
      </x:c>
      <x:c r="F4" s="13" t="str">
        <x:v>Original paper appeared at Robotics: Science and Systems 2014; supplied file is a short version published at SoCS 2015</x:v>
      </x:c>
      <x:c r="G4" s="13" t="str">
        <x:v>Robotics: Science and Systems (RSS)</x:v>
      </x:c>
      <x:c r="H4" s="13" t="str">
        <x:v>Peer-reviewed conference article; short version in SoCS 2015</x:v>
      </x:c>
      <x:c r="I4" s="13" t="str">
        <x:v>Method</x:v>
      </x:c>
      <x:c r="J4" s="13" t="str"/>
      <x:c r="K4" s="13" t="str">
        <x:v>RSS 2014</x:v>
      </x:c>
      <x:c r="L4" s="13" t="str">
        <x:v>Unknown</x:v>
      </x:c>
      <x:c r="M4" s="13" t="str">
        <x:v>No code release was identified in the supplied short paper.</x:v>
      </x:c>
      <x:c r="N4" s="13" t="str">
        <x:v>Multi-Arm Manipulation; Object Transport; Handover Planning</x:v>
      </x:c>
      <x:c r="O4" s="13" t="str">
        <x:v>Planning; Multi-Arm Coordination; Motion Planning</x:v>
      </x:c>
      <x:c r="P4" s="13" t="str">
        <x:v>No</x:v>
      </x:c>
      <x:c r="Q4" s="13" t="str">
        <x:v>No</x:v>
      </x:c>
      <x:c r="R4" s="13" t="str">
        <x:v>No</x:v>
      </x:c>
      <x:c r="S4" s="13" t="str">
        <x:v>No</x:v>
      </x:c>
      <x:c r="T4" s="13" t="str">
        <x:v>None</x:v>
      </x:c>
      <x:c r="U4" s="13" t="str">
        <x:v>N/A — the system uses an explicit kinematic and collision model.</x:v>
      </x:c>
      <x:c r="V4" s="13" t="str">
        <x:v>N/A</x:v>
      </x:c>
      <x:c r="W4" s="13" t="str">
        <x:v>N/A</x:v>
      </x:c>
      <x:c r="X4" s="13" t="str">
        <x:v>N/A</x:v>
      </x:c>
      <x:c r="Y4" s="13" t="str">
        <x:v>No</x:v>
      </x:c>
      <x:c r="Z4" s="13" t="str">
        <x:v>Yes</x:v>
      </x:c>
      <x:c r="AA4" s="13" t="str">
        <x:v>Lazy Weighted A*; Graph Search</x:v>
      </x:c>
      <x:c r="AB4" s="13" t="str">
        <x:v>Hybrid graph over object pose, supporting arm, grasp, and manipulator redundancy parameters</x:v>
      </x:c>
      <x:c r="AC4" s="13" t="str">
        <x:v>Short</x:v>
      </x:c>
      <x:c r="AD4" s="13" t="str">
        <x:v>Each problem moves one object from a start to a goal pose and typically requires roughly one to two handoffs.</x:v>
      </x:c>
      <x:c r="AE4" s="13" t="str">
        <x:v>No — discrete arm/grasp choices and continuous motion are handled within one search representation</x:v>
      </x:c>
      <x:c r="AF4" s="13" t="str">
        <x:v>No</x:v>
      </x:c>
      <x:c r="AG4" s="13" t="str">
        <x:v>Full End-to-End Planner</x:v>
      </x:c>
      <x:c r="AH4" s="13" t="str">
        <x:v>None — heuristic search and motion planning</x:v>
      </x:c>
      <x:c r="AI4" s="13" t="str">
        <x:v>None</x:v>
      </x:c>
      <x:c r="AJ4" s="13" t="str">
        <x:v>No</x:v>
      </x:c>
      <x:c r="AK4" s="13" t="str">
        <x:v>Known object pose, obstacles, robot kinematics, and grasp set</x:v>
      </x:c>
      <x:c r="AL4" s="13" t="str">
        <x:v>Target object pose in SE(3)</x:v>
      </x:c>
      <x:c r="AM4" s="13" t="str">
        <x:v>Object-pose motion primitives, free-angle changes, grasp changes, and arm handoffs</x:v>
      </x:c>
      <x:c r="AN4" s="13" t="str">
        <x:v>Four planning scenes: two-arm tabletop, three-arm bar, three-arm checkout, and four-arm factory</x:v>
      </x:c>
      <x:c r="AO4" s="13" t="str">
        <x:v>Two to four simulated PR2 7-DoF arms</x:v>
      </x:c>
      <x:c r="AP4" s="13" t="str">
        <x:v>Yes</x:v>
      </x:c>
      <x:c r="AQ4" s="13" t="str">
        <x:v>No</x:v>
      </x:c>
      <x:c r="AR4" s="13" t="str">
        <x:v>Plans object transport across an arbitrary number of overlapping robot arms while jointly selecting arm order, grasps, handoff locations, and collision-free motions.</x:v>
      </x:c>
      <x:c r="AS4" s="13" t="str">
        <x:v>Searches primarily in the object's six-dimensional pose while tracking only the currently supporting arm, avoiding the full joint configuration space of all arms.</x:v>
      </x:c>
      <x:c r="AT4" s="13" t="str">
        <x:v>The method assumes unused arms remain in predefined safe configurations, evaluates only one transported object, and shows an 80% success rate across 25 simulated trials.</x:v>
      </x:c>
      <x:c r="AU4" s="13" t="str">
        <x:v>Not explicitly stated in the supplied short paper.</x:v>
      </x:c>
      <x:c r="AV4" s="13" t="str">
        <x:v>The planner uses deterministic kinematics, inverse kinematics, and collision checking rather than learned dynamics.</x:v>
      </x:c>
      <x:c r="AW4" s="13" t="str">
        <x:v>Lazy Weighted A* jointly searches object motions, arm support changes, grasp choices, and handoff feasibility.</x:v>
      </x:c>
      <x:c r="AX4" s="13" t="str">
        <x:v>The task is a single object relocation with an average of approximately 1.3–2 handoffs, rather than a long task sequence.</x:v>
      </x:c>
      <x:c r="AY4" s="13" t="str">
        <x:v>High</x:v>
      </x:c>
      <x:c r="AZ4" s="13" t="str">
        <x:v>Historical multi-arm manipulation-planning baseline; record year as 2014 under the original-publication rule.</x:v>
      </x:c>
      <x:c r="BA4" s="13" t="str">
        <x:v>Planning Single-Arm Manipulations with N-Arm Robots.txt</x:v>
      </x:c>
    </x:row>
    <x:row r="5">
      <x:c r="A5" s="13" t="str">
        <x:v>batch_09</x:v>
      </x:c>
      <x:c r="B5" s="13" t="str">
        <x:v>B09-004</x:v>
      </x:c>
      <x:c r="C5" s="13" t="str">
        <x:v>Real-world robot applications of foundation models: a review</x:v>
      </x:c>
      <x:c r="D5" s="13" t="str">
        <x:v>Kento Kawaharazuka; Tatsuya Matsushima; Andrew Gambardella; Jiaxian Guo; Chris Paxton; Andy Zeng</x:v>
      </x:c>
      <x:c r="E5" s="13" t="n">
        <x:v>2024</x:v>
      </x:c>
      <x:c r="F5" s="13" t="str">
        <x:v>Published online 16 Oct 2024</x:v>
      </x:c>
      <x:c r="G5" s="13" t="str">
        <x:v>Advanced Robotics</x:v>
      </x:c>
      <x:c r="H5" s="13" t="str">
        <x:v>Peer-reviewed journal review article</x:v>
      </x:c>
      <x:c r="I5" s="13" t="str">
        <x:v>Survey</x:v>
      </x:c>
      <x:c r="J5" s="13" t="str"/>
      <x:c r="K5" s="13" t="str">
        <x:v>10.1080/01691864.2024.2408593</x:v>
      </x:c>
      <x:c r="L5" s="13" t="str">
        <x:v>Unknown</x:v>
      </x:c>
      <x:c r="M5" s="13" t="str">
        <x:v>The article is open access, but no single companion code repository is associated with the review.</x:v>
      </x:c>
      <x:c r="N5" s="13" t="str">
        <x:v>General Robotics; Foundation Models; Real-World Deployment</x:v>
      </x:c>
      <x:c r="O5" s="13" t="str">
        <x:v>Survey; Foundation Models; Perception; Planning; Control</x:v>
      </x:c>
      <x:c r="P5" s="13" t="str">
        <x:v>N/A — reviews high-level and low-level planning applications</x:v>
      </x:c>
      <x:c r="Q5" s="13" t="str">
        <x:v>N/A — many reviewed systems use language</x:v>
      </x:c>
      <x:c r="R5" s="13" t="str">
        <x:v>N/A — human interaction and communication applications are reviewed</x:v>
      </x:c>
      <x:c r="S5" s="13" t="str">
        <x:v>N/A — generative and multimodal foundation models are reviewed among broader model classes</x:v>
      </x:c>
      <x:c r="T5" s="13" t="str">
        <x:v>N/A — multiple foundation-model and generative-model families</x:v>
      </x:c>
      <x:c r="U5" s="13" t="str">
        <x:v>Organizes foundation models by modality and input-output mapping, then studies their replacement of perception, planning, control, and data-generation components.</x:v>
      </x:c>
      <x:c r="V5" s="13" t="str">
        <x:v>N/A</x:v>
      </x:c>
      <x:c r="W5" s="13" t="str">
        <x:v>N/A</x:v>
      </x:c>
      <x:c r="X5" s="13" t="str">
        <x:v>N/A</x:v>
      </x:c>
      <x:c r="Y5" s="13" t="str">
        <x:v>N/A</x:v>
      </x:c>
      <x:c r="Z5" s="13" t="str">
        <x:v>N/A — high-level planning, code generation, and low-level planning applications are reviewed</x:v>
      </x:c>
      <x:c r="AA5" s="13" t="str">
        <x:v>N/A</x:v>
      </x:c>
      <x:c r="AB5" s="13" t="str">
        <x:v>Multiple: language, code, latent features, images, actions, and skills</x:v>
      </x:c>
      <x:c r="AC5" s="13" t="str">
        <x:v>N/A</x:v>
      </x:c>
      <x:c r="AD5" s="13" t="str">
        <x:v>The review discusses hierarchical skills and long-horizon code or task planning but proposes no single planner.</x:v>
      </x:c>
      <x:c r="AE5" s="13" t="str">
        <x:v>N/A</x:v>
      </x:c>
      <x:c r="AF5" s="13" t="str">
        <x:v>N/A</x:v>
      </x:c>
      <x:c r="AG5" s="13" t="str">
        <x:v>N/A</x:v>
      </x:c>
      <x:c r="AH5" s="13" t="str">
        <x:v>N/A</x:v>
      </x:c>
      <x:c r="AI5" s="13" t="str">
        <x:v>N/A</x:v>
      </x:c>
      <x:c r="AJ5" s="13" t="str">
        <x:v>N/A</x:v>
      </x:c>
      <x:c r="AK5" s="13" t="str">
        <x:v>Language; vision; audio; 3D; force and other modalities</x:v>
      </x:c>
      <x:c r="AL5" s="13" t="str">
        <x:v>Multiple</x:v>
      </x:c>
      <x:c r="AM5" s="13" t="str">
        <x:v>Multiple</x:v>
      </x:c>
      <x:c r="AN5" s="13" t="str">
        <x:v>Multiple real-world robot studies and robotic foundation-model datasets</x:v>
      </x:c>
      <x:c r="AO5" s="13" t="str">
        <x:v>Multiple</x:v>
      </x:c>
      <x:c r="AP5" s="13" t="str">
        <x:v>Both / Survey</x:v>
      </x:c>
      <x:c r="AQ5" s="13" t="str">
        <x:v>Both / Survey</x:v>
      </x:c>
      <x:c r="AR5" s="13" t="str">
        <x:v>Surveys how foundation models can replace or augment specific components in practical robot systems, from perception through planning and control.</x:v>
      </x:c>
      <x:c r="AS5" s="13" t="str">
        <x:v>Uses input-output modality transformations and robot-stack component replacement as its organizing framework, with emphasis on real-world deployment.</x:v>
      </x:c>
      <x:c r="AT5" s="13" t="str">
        <x:v>The field still underuses force, depth, inertial, and motion modalities; control rates are slow; low-level force control, safety, outdoor deployment, hardware diversity, and fair real-world evaluation remain limited.</x:v>
      </x:c>
      <x:c r="AU5" s="13" t="str">
        <x:v>Develop hierarchical skill interfaces, faster and safer embodied foundation models, richer multimodal sensing, broader hardware and outdoor deployment, stronger open-world generalization, and real-world evaluation standards.</x:v>
      </x:c>
      <x:c r="AV5" s="13" t="str">
        <x:v>Generative and multimodal models are reviewed, but the paper does not propose one predictive environment model.</x:v>
      </x:c>
      <x:c r="AW5" s="13" t="str">
        <x:v>The survey separately reviews high-level task planning, code generation, low-level planning, control, and data augmentation.</x:v>
      </x:c>
      <x:c r="AX5" s="13" t="str">
        <x:v>It identifies skill hierarchy and planning granularity as future challenges rather than evaluating a paper-specific horizon.</x:v>
      </x:c>
      <x:c r="AY5" s="13" t="str">
        <x:v>High</x:v>
      </x:c>
      <x:c r="AZ5" s="13" t="str">
        <x:v>Supporting survey for foundation-model deployment and component-level analysis; exclude from method-only counts.</x:v>
      </x:c>
      <x:c r="BA5" s="13" t="str">
        <x:v>Real-world robot applications of foundation models  a review.txt</x:v>
      </x:c>
    </x:row>
    <x:row r="6">
      <x:c r="A6" s="13" t="str">
        <x:v>batch_09</x:v>
      </x:c>
      <x:c r="B6" s="13" t="str">
        <x:v>B09-005</x:v>
      </x:c>
      <x:c r="C6" s="13" t="str">
        <x:v>Research status of elderly-care robots and safe human-robot interaction methods</x:v>
      </x:c>
      <x:c r="D6" s="13" t="str">
        <x:v>Donghui Zhao; Xingwang Sun; Bo Shan; Zihao Yang; Junyou Yang; Houde Liu; Yinlai Jiang; Yokoi Hiroshi</x:v>
      </x:c>
      <x:c r="E6" s="13" t="n">
        <x:v>2023</x:v>
      </x:c>
      <x:c r="F6" s="13" t="str">
        <x:v>Published 30 Nov 2023</x:v>
      </x:c>
      <x:c r="G6" s="13" t="str">
        <x:v>Frontiers in Neuroscience</x:v>
      </x:c>
      <x:c r="H6" s="13" t="str">
        <x:v>Peer-reviewed review article</x:v>
      </x:c>
      <x:c r="I6" s="13" t="str">
        <x:v>Survey</x:v>
      </x:c>
      <x:c r="J6" s="13" t="str"/>
      <x:c r="K6" s="13" t="str">
        <x:v>10.3389/fnins.2023.1291682</x:v>
      </x:c>
      <x:c r="L6" s="13" t="str">
        <x:v>Unknown</x:v>
      </x:c>
      <x:c r="M6" s="13" t="str">
        <x:v>The article is open access under CC BY; no companion software resource is associated with the review.</x:v>
      </x:c>
      <x:c r="N6" s="13" t="str">
        <x:v>Elderly-Care Robotics; Assistive Robotics; Human-Robot Interaction</x:v>
      </x:c>
      <x:c r="O6" s="13" t="str">
        <x:v>Survey; Safe Human-Robot Interaction; Assistive Robotics</x:v>
      </x:c>
      <x:c r="P6" s="13" t="str">
        <x:v>N/A</x:v>
      </x:c>
      <x:c r="Q6" s="13" t="str">
        <x:v>N/A</x:v>
      </x:c>
      <x:c r="R6" s="13" t="str">
        <x:v>N/A — safe interaction is the survey's central topic</x:v>
      </x:c>
      <x:c r="S6" s="13" t="str">
        <x:v>N/A — not focused on learned predictive world models</x:v>
      </x:c>
      <x:c r="T6" s="13" t="str">
        <x:v>N/A</x:v>
      </x:c>
      <x:c r="U6" s="13" t="str">
        <x:v>Reviews sensing, prediction, control, planning, biomechanics, and social factors for safe elderly-care interaction.</x:v>
      </x:c>
      <x:c r="V6" s="13" t="str">
        <x:v>N/A</x:v>
      </x:c>
      <x:c r="W6" s="13" t="str">
        <x:v>N/A</x:v>
      </x:c>
      <x:c r="X6" s="13" t="str">
        <x:v>N/A</x:v>
      </x:c>
      <x:c r="Y6" s="13" t="str">
        <x:v>N/A</x:v>
      </x:c>
      <x:c r="Z6" s="13" t="str">
        <x:v>N/A — motion planning and prediction are reviewed as safety mechanisms</x:v>
      </x:c>
      <x:c r="AA6" s="13" t="str">
        <x:v>N/A</x:v>
      </x:c>
      <x:c r="AB6" s="13" t="str">
        <x:v>N/A</x:v>
      </x:c>
      <x:c r="AC6" s="13" t="str">
        <x:v>N/A</x:v>
      </x:c>
      <x:c r="AD6" s="13" t="str">
        <x:v>No single planning architecture or normalized horizon is evaluated.</x:v>
      </x:c>
      <x:c r="AE6" s="13" t="str">
        <x:v>N/A</x:v>
      </x:c>
      <x:c r="AF6" s="13" t="str">
        <x:v>N/A</x:v>
      </x:c>
      <x:c r="AG6" s="13" t="str">
        <x:v>N/A</x:v>
      </x:c>
      <x:c r="AH6" s="13" t="str">
        <x:v>N/A</x:v>
      </x:c>
      <x:c r="AI6" s="13" t="str">
        <x:v>N/A</x:v>
      </x:c>
      <x:c r="AJ6" s="13" t="str">
        <x:v>N/A</x:v>
      </x:c>
      <x:c r="AK6" s="13" t="str">
        <x:v>Multiple: physiological sensors, vision, wearable sensing, force, motion, and smart-home sensors</x:v>
      </x:c>
      <x:c r="AL6" s="13" t="str">
        <x:v>Multiple care, rehabilitation, monitoring, and companionship objectives</x:v>
      </x:c>
      <x:c r="AM6" s="13" t="str">
        <x:v>Multiple</x:v>
      </x:c>
      <x:c r="AN6" s="13" t="str">
        <x:v>Multiple elderly-care robot systems, rehabilitation devices, companion robots, and safe-HRI studies</x:v>
      </x:c>
      <x:c r="AO6" s="13" t="str">
        <x:v>Multiple</x:v>
      </x:c>
      <x:c r="AP6" s="13" t="str">
        <x:v>Both / Survey</x:v>
      </x:c>
      <x:c r="AQ6" s="13" t="str">
        <x:v>Both / Survey</x:v>
      </x:c>
      <x:c r="AR6" s="13" t="str">
        <x:v>Reviews elderly-care robot categories, nursing modes, and the technical and social methods needed for safe interaction with frail users.</x:v>
      </x:c>
      <x:c r="AS6" s="13" t="str">
        <x:v>Integrates robot-care functions with physical safety, intention understanding, biomechanics, ethics, psychology, and user acceptance.</x:v>
      </x:c>
      <x:c r="AT6" s="13" t="str">
        <x:v>Current systems remain specialized, rely heavily on professional supervision, have limited flexibility and autonomy, and face safety, ethical, privacy, and acceptance barriers.</x:v>
      </x:c>
      <x:c r="AU6" s="13" t="str">
        <x:v>Coordinate heterogeneous assistive robots, build robot-and-sensor smart-home care models, improve mechanical flexibility and safety, and increase user acceptance.</x:v>
      </x:c>
      <x:c r="AV6" s="13" t="str">
        <x:v>The review includes prediction and sensing methods for safety but is not organized around learned action-conditioned environment models.</x:v>
      </x:c>
      <x:c r="AW6" s="13" t="str">
        <x:v>Motion planning and prediction are discussed as components of safe interaction rather than as one proposed planner.</x:v>
      </x:c>
      <x:c r="AX6" s="13" t="str">
        <x:v>The paper provides no paper-level planning horizon.</x:v>
      </x:c>
      <x:c r="AY6" s="13" t="str">
        <x:v>High</x:v>
      </x:c>
      <x:c r="AZ6" s="13" t="str">
        <x:v>Peripheral to the core world-model and long-horizon manipulation corpus; retain only for HRI and safety context.</x:v>
      </x:c>
      <x:c r="BA6" s="13" t="str">
        <x:v>Research status of elderly-care robots and safe human-robot interaction methods.txt</x:v>
      </x:c>
    </x:row>
  </x:sheetData>
  <x:pageMargins left="0.7" right="0.7" top="0.75" bottom="0.75" header="0.3" footer="0.3"/>
  <x:tableParts count="1">
    <x:tablePart xmlns:r="http://schemas.openxmlformats.org/officeDocument/2006/relationships" r:id="R0b4d94620dcb43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9" hidden="0" customWidth="1"/>
    <x:col min="3" max="3" width="52" hidden="0" customWidth="1"/>
    <x:col min="4" max="4" width="56" hidden="0" customWidth="1"/>
  </x:cols>
  <x:sheetData>
    <x:row r="1">
      <x:c r="A1" s="20" t="str">
        <x:v>Field</x:v>
      </x:c>
      <x:c r="B1" s="20" t="str">
        <x:v>Definition</x:v>
      </x:c>
      <x:c r="C1" s="20" t="str">
        <x:v>Allowed / normalized values</x:v>
      </x:c>
      <x:c r="D1" s="20" t="str">
        <x:v>Annotation rule</x:v>
      </x:c>
    </x:row>
    <x:row r="2">
      <x:c r="A2" s="13" t="str">
        <x:v>batch_id</x:v>
      </x:c>
      <x:c r="B2" s="13" t="str">
        <x:v>Annotation batch identifier</x:v>
      </x:c>
      <x:c r="C2" s="13" t="str">
        <x:v>batch_01; batch_02; …</x:v>
      </x:c>
      <x:c r="D2" s="13" t="str">
        <x:v>Used for provenance and rollback.</x:v>
      </x:c>
    </x:row>
    <x:row r="3">
      <x:c r="A3" s="13" t="str">
        <x:v>paper_id</x:v>
      </x:c>
      <x:c r="B3" s="13" t="str">
        <x:v>Stable internal identifier</x:v>
      </x:c>
      <x:c r="C3" s="13" t="str">
        <x:v>String</x:v>
      </x:c>
      <x:c r="D3" s="13" t="str">
        <x:v>Unique across all batches.</x:v>
      </x:c>
    </x:row>
    <x:row r="4">
      <x:c r="A4" s="13" t="str">
        <x:v>year</x:v>
      </x:c>
      <x:c r="B4" s="13" t="str">
        <x:v>First public appearance year</x:v>
      </x:c>
      <x:c r="C4" s="13" t="str">
        <x:v>Integer</x:v>
      </x:c>
      <x:c r="D4" s="13" t="str">
        <x:v>Use first public preprint or original publication; preserve later version or short-paper year in year_basis.</x:v>
      </x:c>
    </x:row>
    <x:row r="5">
      <x:c r="A5" s="13" t="str">
        <x:v>paper_type</x:v>
      </x:c>
      <x:c r="B5" s="13" t="str">
        <x:v>Nature of the paper</x:v>
      </x:c>
      <x:c r="C5" s="13" t="str">
        <x:v>Method; Survey; Benchmark; Dataset</x:v>
      </x:c>
      <x:c r="D5" s="13" t="str">
        <x:v>Non-method papers are excluded from proposed-method counts.</x:v>
      </x:c>
    </x:row>
    <x:row r="6">
      <x:c r="A6" s="13" t="str">
        <x:v>long_horizon</x:v>
      </x:c>
      <x:c r="B6" s="13" t="str">
        <x:v>Whether the evaluated task itself is long-horizon</x:v>
      </x:c>
      <x:c r="C6" s="13" t="str">
        <x:v>Yes; No; No / Unclear; N/A</x:v>
      </x:c>
      <x:c r="D6" s="13" t="str">
        <x:v>Instruction complexity is not equivalent to temporal horizon.</x:v>
      </x:c>
    </x:row>
    <x:row r="7">
      <x:c r="A7" s="13" t="str">
        <x:v>uses_world_model</x:v>
      </x:c>
      <x:c r="B7" s="13" t="str">
        <x:v>Whether the downstream method predicts environment evolution</x:v>
      </x:c>
      <x:c r="C7" s="13" t="str">
        <x:v>Yes; No; Ambiguous; N/A</x:v>
      </x:c>
      <x:c r="D7" s="13" t="str">
        <x:v>Future visual waypoint prediction counts; latent plans or direct actions alone do not.</x:v>
      </x:c>
    </x:row>
    <x:row r="8">
      <x:c r="A8" s="13" t="str">
        <x:v>world_model_family</x:v>
      </x:c>
      <x:c r="B8" s="13" t="str">
        <x:v>Primary normalized world-model family</x:v>
      </x:c>
      <x:c r="C8" s="13" t="str">
        <x:v>JEPA; Latent Dynamics; RSSM; Diffusion; Transformer; VAE; Object-Centric; Hybrid; None; N/A</x:v>
      </x:c>
      <x:c r="D8" s="13" t="str"/>
    </x:row>
    <x:row r="9">
      <x:c r="A9" s="13" t="str">
        <x:v>uses_planning</x:v>
      </x:c>
      <x:c r="B9" s="13" t="str">
        <x:v>Whether behavior is explicitly optimized or decomposed</x:v>
      </x:c>
      <x:c r="C9" s="13" t="str">
        <x:v>Yes; No; N/A</x:v>
      </x:c>
      <x:c r="D9" s="13" t="str">
        <x:v>Direct action decoding from a predicted waypoint is No.</x:v>
      </x:c>
    </x:row>
    <x:row r="10">
      <x:c r="A10" s="13" t="str">
        <x:v>planning_method</x:v>
      </x:c>
      <x:c r="B10" s="13" t="str">
        <x:v>Primary normalized planning mechanism</x:v>
      </x:c>
      <x:c r="C10" s="13" t="str">
        <x:v>MPC; MPPI; CEM; MCTS; MIP; A*; Graph Search; POMDP; RRT; Hierarchical; Language Planner; Learned Latent Planner; None; N/A</x:v>
      </x:c>
      <x:c r="D10" s="13" t="str"/>
    </x:row>
    <x:row r="11">
      <x:c r="A11" s="13" t="str">
        <x:v>planning_horizon</x:v>
      </x:c>
      <x:c r="B11" s="13" t="str">
        <x:v>Horizon of explicit planning or task-level decomposition</x:v>
      </x:c>
      <x:c r="C11" s="13" t="str">
        <x:v>None; Short; Medium; Long; N/A</x:v>
      </x:c>
      <x:c r="D11" s="13" t="str">
        <x:v>Short &lt;10 action stages; Medium 10–50; Long &gt;50 or extended task-level planning.</x:v>
      </x:c>
    </x:row>
    <x:row r="12">
      <x:c r="A12" s="13" t="str">
        <x:v>planning_role</x:v>
      </x:c>
      <x:c r="B12" s="13" t="str">
        <x:v>Where planning occurs in the system</x:v>
      </x:c>
      <x:c r="C12" s="13" t="str">
        <x:v>None; Local Controller; Skill Planner; High-Level Planner; Full End-to-End Planner; N/A</x:v>
      </x:c>
      <x:c r="D12" s="13" t="str"/>
    </x:row>
    <x:row r="13">
      <x:c r="A13" s="13" t="str">
        <x:v>replanning_online</x:v>
      </x:c>
      <x:c r="B13" s="13" t="str">
        <x:v>Whether plans or actions are refreshed from new observations</x:v>
      </x:c>
      <x:c r="C13" s="13" t="str">
        <x:v>Yes; No; No / Unclear; N/A; qualified text</x:v>
      </x:c>
      <x:c r="D13" s="13" t="str">
        <x:v>Distinguish direct policy refresh from explicit online search.</x:v>
      </x:c>
    </x:row>
    <x:row r="14">
      <x:c r="A14" s="13" t="str">
        <x:v>confidence</x:v>
      </x:c>
      <x:c r="B14" s="13" t="str">
        <x:v>Confidence in the annotation row</x:v>
      </x:c>
      <x:c r="C14" s="13" t="str">
        <x:v>High; Medium; Low</x:v>
      </x:c>
      <x:c r="D14" s="13" t="str">
        <x:v>Put field-specific uncertainty in review_flags.</x:v>
      </x:c>
    </x:row>
    <x:row r="15">
      <x:c r="A15" s="13" t="str">
        <x:v>review_flags</x:v>
      </x:c>
      <x:c r="B15" s="13" t="str">
        <x:v>Scope and interpretation notes</x:v>
      </x:c>
      <x:c r="C15" s="13" t="str">
        <x:v>Free text</x:v>
      </x:c>
      <x:c r="D15" s="13" t="str">
        <x:v>Preserves foundational, supporting, peripheral, and method distinctions.</x:v>
      </x:c>
    </x:row>
  </x:sheetData>
  <x:pageMargins left="0.7" right="0.7" top="0.75" bottom="0.75" header="0.3" footer="0.3"/>
  <x:tableParts count="1">
    <x:tablePart xmlns:r="http://schemas.openxmlformats.org/officeDocument/2006/relationships" r:id="R724e5ff0df5c49bc"/>
  </x:tableParts>
</x:worksheet>
</file>