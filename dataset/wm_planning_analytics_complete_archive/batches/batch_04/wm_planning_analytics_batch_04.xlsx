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9d00698c0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4312257b3ef4163"/>
    <x:sheet xmlns:r="http://schemas.openxmlformats.org/officeDocument/2006/relationships" name="Annotations" sheetId="2" r:id="Rf0243713ac4f4070"/>
    <x:sheet xmlns:r="http://schemas.openxmlformats.org/officeDocument/2006/relationships" name="Taxonomy" sheetId="3" r:id="R83e17c85b47f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815e6c2ad43a5" /><Relationship Type="http://schemas.openxmlformats.org/officeDocument/2006/relationships/theme" Target="/xl/theme/theme1.xml" Id="R0a9f99cc5de6447b" /><Relationship Type="http://schemas.openxmlformats.org/officeDocument/2006/relationships/sharedStrings" Target="/xl/sharedStrings.xml" Id="R1603d02e337d4384" /><Relationship Type="http://schemas.openxmlformats.org/officeDocument/2006/relationships/worksheet" Target="/xl/worksheets/sheet1.xml" Id="R54312257b3ef4163" /><Relationship Type="http://schemas.openxmlformats.org/officeDocument/2006/relationships/worksheet" Target="/xl/worksheets/sheet2.xml" Id="Rf0243713ac4f4070" /><Relationship Type="http://schemas.openxmlformats.org/officeDocument/2006/relationships/worksheet" Target="/xl/worksheets/sheet3.xml" Id="R83e17c85b47f4c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39684f875c45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'Dashboard'!$A$18:$A$23</c:f>
              <c:strCache>
                <c:ptCount val="0"/>
              </c:strCache>
            </c:strRef>
          </c:cat>
          <c:val>
            <c:numRef>
              <c:f>'Dashboard'!$B$18:$B$23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'Dashboard'!$A$18:$A$23</c:f>
              <c:strCache>
                <c:ptCount val="0"/>
              </c:strCache>
            </c:strRef>
          </c:cat>
          <c:val>
            <c:numRef>
              <c:f>'Dashboard'!$C$18:$C$23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'Dashboard'!$A$18:$A$23</c:f>
              <c:strCache>
                <c:ptCount val="0"/>
              </c:strCache>
            </c:strRef>
          </c:cat>
          <c:val>
            <c:numRef>
              <c:f>'Dashboard'!$D$18:$D$23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39684f875c45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04Annotations" displayName="Batch04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04AnnotationsTaxonomy" displayName="Batch04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6b6ea10d2b4c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9d28693c5d45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7b2a3026d14495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5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8" t="str">
        <x:v>WM &amp; Planning Analytics — Batch 04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04 interpretation notes</x:v>
      </x:c>
      <x:c r="E4" s="48"/>
      <x:c r="F4" s="48"/>
      <x:c r="G4" s="48"/>
    </x:row>
    <x:row r="5">
      <x:c r="A5" s="35" t="str">
        <x:v>Method papers</x:v>
      </x:c>
      <x:c r="B5" s="43" t="n">
        <x:f>COUNTIF(Annotations!$I:$I,"Method")</x:f>
        <x:v>2</x:v>
      </x:c>
      <x:c r="D5" s="52" t="str">
        <x:v>• The HRC paper is a long-horizon hierarchical language planner, but not a world model.
• eTAMP is a core classical TAMP baseline integrating symbolic and continuous search.
• FurnitureBench is a benchmark with long-horizon tasks, not a proposed planner.
• Factor Graphs is retained as foundational background and excluded from method counts.
• The foundation-model survey supports trend and challenge analysis rather than architecture counts.</x:v>
      </x:c>
      <x:c r="E5" s="52"/>
      <x:c r="F5" s="52"/>
      <x:c r="G5" s="52"/>
    </x:row>
    <x:row r="6">
      <x:c r="A6" s="35" t="str">
        <x:v>Survey papers</x:v>
      </x:c>
      <x:c r="B6" s="43" t="n">
        <x:f>COUNTIF(Annotations!$I:$I,"Survey")</x:f>
        <x:v>2</x:v>
      </x:c>
      <x:c r="D6" s="52"/>
      <x:c r="E6" s="52"/>
      <x:c r="F6" s="52"/>
      <x:c r="G6" s="52"/>
    </x:row>
    <x:row r="7">
      <x:c r="A7" s="35" t="str">
        <x:v>Benchmark papers</x:v>
      </x:c>
      <x:c r="B7" s="43" t="n">
        <x:f>COUNTIF(Annotations!$I:$I,"Benchmark")</x:f>
        <x:v>1</x:v>
      </x:c>
      <x:c r="D7" s="52"/>
      <x:c r="E7" s="52"/>
      <x:c r="F7" s="52"/>
      <x:c r="G7" s="52"/>
    </x:row>
    <x:row r="8">
      <x:c r="A8" s="35" t="str">
        <x:v>Method papers using world models</x:v>
      </x:c>
      <x:c r="B8" s="43" t="n">
        <x:f>COUNTIFS(Annotations!$I:$I,"Method",Annotations!$S:$S,"Yes")</x:f>
        <x:v>0</x:v>
      </x:c>
      <x:c r="D8" s="52"/>
      <x:c r="E8" s="52"/>
      <x:c r="F8" s="52"/>
      <x:c r="G8" s="52"/>
    </x:row>
    <x:row r="9">
      <x:c r="A9" s="35" t="str">
        <x:v>Definition-sensitive WM papers</x:v>
      </x:c>
      <x:c r="B9" s="43" t="n">
        <x:f>COUNTIFS(Annotations!$I:$I,"Method",Annotations!$S:$S,"Ambiguous")</x:f>
        <x:v>0</x:v>
      </x:c>
      <x:c r="D9" s="52"/>
      <x:c r="E9" s="52"/>
      <x:c r="F9" s="52"/>
      <x:c r="G9" s="52"/>
    </x:row>
    <x:row r="10">
      <x:c r="A10" s="35" t="str">
        <x:v>Method papers with explicit planning</x:v>
      </x:c>
      <x:c r="B10" s="43" t="n">
        <x:f>COUNTIFS(Annotations!$I:$I,"Method",Annotations!$Z:$Z,"Yes")</x:f>
        <x:v>2</x:v>
      </x:c>
      <x:c r="D10" s="52"/>
      <x:c r="E10" s="52"/>
      <x:c r="F10" s="52"/>
      <x:c r="G10" s="52"/>
    </x:row>
    <x:row r="11">
      <x:c r="A11" s="35" t="str">
        <x:v>Long-horizon method papers</x:v>
      </x:c>
      <x:c r="B11" s="43" t="n">
        <x:f>COUNTIFS(Annotations!$I:$I,"Method",Annotations!$P:$P,"Yes")</x:f>
        <x:v>2</x:v>
      </x:c>
    </x:row>
    <x:row r="12">
      <x:c r="A12" s="35" t="str">
        <x:v>Long-horizon benchmark papers</x:v>
      </x:c>
      <x:c r="B12" s="43" t="n">
        <x:f>COUNTIFS(Annotations!$I:$I,"Benchmark",Annotations!$P:$P,"Yes")</x:f>
        <x:v>1</x:v>
      </x:c>
    </x:row>
    <x:row r="13">
      <x:c r="A13" s="35" t="str">
        <x:v>Method papers with real-robot evaluation</x:v>
      </x:c>
      <x:c r="B13" s="43" t="n">
        <x:f>COUNTIFS(Annotations!$I:$I,"Method",Annotations!$AQ:$AQ,"Yes")</x:f>
        <x:v>1</x:v>
      </x:c>
    </x:row>
    <x:row r="14">
      <x:c r="A14" s="35" t="str">
        <x:v>High-confidence rows</x:v>
      </x:c>
      <x:c r="B14" s="43" t="n">
        <x:f>COUNTIF(Annotations!$AY:$AY,"High")</x:f>
        <x:v>5</x:v>
      </x:c>
    </x:row>
    <x:row r="17">
      <x:c r="A17" s="48" t="str">
        <x:v>Year</x:v>
      </x:c>
      <x:c r="B17" s="48" t="str">
        <x:v>Methods</x:v>
      </x:c>
      <x:c r="C17" s="48" t="str">
        <x:v>Surveys</x:v>
      </x:c>
      <x:c r="D17" s="48" t="str">
        <x:v>Benchmarks</x:v>
      </x:c>
    </x:row>
    <x:row r="18">
      <x:c r="A18" s="57" t="n">
        <x:v>2021</x:v>
      </x:c>
      <x:c r="B18" s="57" t="n">
        <x:f>COUNTIFS(Annotations!$E:$E,A18,Annotations!$I:$I,"Method")</x:f>
        <x:v>1</x:v>
      </x:c>
      <x:c r="C18" s="57" t="n">
        <x:f>COUNTIFS(Annotations!$E:$E,A18,Annotations!$I:$I,"Survey")</x:f>
        <x:v>1</x:v>
      </x:c>
      <x:c r="D18" s="57" t="n">
        <x:f>COUNTIFS(Annotations!$E:$E,A18,Annotations!$I:$I,"Benchmark")</x:f>
        <x:v>0</x:v>
      </x:c>
    </x:row>
    <x:row r="19">
      <x:c r="A19" s="57" t="n">
        <x:v>2022</x:v>
      </x:c>
      <x:c r="B19" s="57" t="n">
        <x:f>COUNTIFS(Annotations!$E:$E,A19,Annotations!$I:$I,"Method")</x:f>
        <x:v>0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</x:row>
    <x:row r="20">
      <x:c r="A20" s="57" t="n">
        <x:v>2023</x:v>
      </x:c>
      <x:c r="B20" s="57" t="n">
        <x:f>COUNTIFS(Annotations!$E:$E,A20,Annotations!$I:$I,"Method")</x:f>
        <x:v>0</x:v>
      </x:c>
      <x:c r="C20" s="57" t="n">
        <x:f>COUNTIFS(Annotations!$E:$E,A20,Annotations!$I:$I,"Survey")</x:f>
        <x:v>0</x:v>
      </x:c>
      <x:c r="D20" s="57" t="n">
        <x:f>COUNTIFS(Annotations!$E:$E,A20,Annotations!$I:$I,"Benchmark")</x:f>
        <x:v>1</x:v>
      </x:c>
    </x:row>
    <x:row r="21">
      <x:c r="A21" s="57" t="n">
        <x:v>2024</x:v>
      </x:c>
      <x:c r="B21" s="57" t="n">
        <x:f>COUNTIFS(Annotations!$E:$E,A21,Annotations!$I:$I,"Method")</x:f>
        <x:v>1</x:v>
      </x:c>
      <x:c r="C21" s="57" t="n">
        <x:f>COUNTIFS(Annotations!$E:$E,A21,Annotations!$I:$I,"Survey")</x:f>
        <x:v>1</x:v>
      </x:c>
      <x:c r="D21" s="57" t="n">
        <x:f>COUNTIFS(Annotations!$E:$E,A21,Annotations!$I:$I,"Benchmark")</x:f>
        <x:v>0</x:v>
      </x:c>
    </x:row>
    <x:row r="22">
      <x:c r="A22" s="57" t="n">
        <x:v>2025</x:v>
      </x:c>
      <x:c r="B22" s="57" t="n">
        <x:f>COUNTIFS(Annotations!$E:$E,A22,Annotations!$I:$I,"Method")</x:f>
        <x:v>0</x:v>
      </x:c>
      <x:c r="C22" s="57" t="n">
        <x:f>COUNTIFS(Annotations!$E:$E,A22,Annotations!$I:$I,"Survey")</x:f>
        <x:v>0</x:v>
      </x:c>
      <x:c r="D22" s="57" t="n">
        <x:f>COUNTIFS(Annotations!$E:$E,A22,Annotations!$I:$I,"Benchmark")</x:f>
        <x:v>0</x:v>
      </x:c>
    </x:row>
    <x:row r="23">
      <x:c r="A23" s="57" t="n">
        <x:v>2026</x:v>
      </x:c>
      <x:c r="B23" s="57" t="n">
        <x:f>COUNTIFS(Annotations!$E:$E,A23,Annotations!$I:$I,"Method")</x:f>
        <x:v>0</x:v>
      </x:c>
      <x:c r="C23" s="57" t="n">
        <x:f>COUNTIFS(Annotations!$E:$E,A23,Annotations!$I:$I,"Survey")</x:f>
        <x:v>0</x:v>
      </x:c>
      <x:c r="D23" s="57" t="n">
        <x:f>COUNTIFS(Annotations!$E:$E,A23,Annotations!$I:$I,"Benchmark")</x:f>
        <x:v>0</x:v>
      </x:c>
    </x:row>
    <x:row r="26">
      <x:c r="A26" s="48" t="str">
        <x:v>World-model status</x:v>
      </x:c>
      <x:c r="B26" s="48" t="str">
        <x:v>Method count</x:v>
      </x:c>
      <x:c r="C26" s="48" t="str">
        <x:v>Interpretation</x:v>
      </x:c>
    </x:row>
    <x:row r="27">
      <x:c r="A27" s="13" t="str">
        <x:v>Yes</x:v>
      </x:c>
      <x:c r="B27" s="13" t="n">
        <x:f>COUNTIFS(Annotations!$I:$I,"Method",Annotations!$S:$S,A27)</x:f>
        <x:v>0</x:v>
      </x:c>
      <x:c r="C27" s="13" t="str">
        <x:v>Strict predictive environment model</x:v>
      </x:c>
    </x:row>
    <x:row r="28">
      <x:c r="A28" s="13" t="str">
        <x:v>Ambiguous</x:v>
      </x:c>
      <x:c r="B28" s="13" t="n">
        <x:f>COUNTIFS(Annotations!$I:$I,"Method",Annotations!$S:$S,A28)</x:f>
        <x:v>0</x:v>
      </x:c>
      <x:c r="C28" s="13" t="str">
        <x:v>World-model terminology without explicit environment prediction</x:v>
      </x:c>
    </x:row>
    <x:row r="29">
      <x:c r="A29" s="13" t="str">
        <x:v>No</x:v>
      </x:c>
      <x:c r="B29" s="13" t="n">
        <x:f>COUNTIFS(Annotations!$I:$I,"Method",Annotations!$S:$S,A29)</x:f>
        <x:v>2</x:v>
      </x:c>
      <x:c r="C29" s="13" t="str">
        <x:v>No learned predictive environment model</x:v>
      </x:c>
    </x:row>
  </x:sheetData>
  <x:mergeCells>
    <x:mergeCell ref="A1:H2"/>
    <x:mergeCell ref="D4:G4"/>
    <x:mergeCell ref="D5:G10"/>
  </x:mergeCells>
  <x:pageMargins left="0.7" right="0.7" top="0.75" bottom="0.75" header="0.3" footer="0.3"/>
  <x:drawing xmlns:r="http://schemas.openxmlformats.org/officeDocument/2006/relationships" r:id="Rdc6b6ea10d2b4cce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1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batch_04</x:v>
      </x:c>
      <x:c r="B2" s="13" t="str">
        <x:v>B04-001</x:v>
      </x:c>
      <x:c r="C2" s="13" t="str">
        <x:v>Enhancing the LLM-Based Robot Manipulation Through Human-Robot Collaboration</x:v>
      </x:c>
      <x:c r="D2" s="13" t="str">
        <x:v>Haokun Liu; Yaonan Zhu; Kenji Kato; Atsushi Tsukahara; Izumi Kondo; Tadayoshi Aoyama; Yasuhisa Hasegawa</x:v>
      </x:c>
      <x:c r="E2" s="13" t="n">
        <x:v>2024</x:v>
      </x:c>
      <x:c r="F2" s="13" t="str">
        <x:v>First public appearance: arXiv:2406.14097 in June 2024; IEEE RA-L publication in August 2024</x:v>
      </x:c>
      <x:c r="G2" s="13" t="str">
        <x:v>IEEE Robotics and Automation Letters</x:v>
      </x:c>
      <x:c r="H2" s="13" t="str">
        <x:v>Peer-reviewed journal article</x:v>
      </x:c>
      <x:c r="I2" s="13" t="str">
        <x:v>Method</x:v>
      </x:c>
      <x:c r="J2" s="13" t="str"/>
      <x:c r="K2" s="13" t="str">
        <x:v>10.1109/LRA.2024.3415931; arXiv:2406.14097</x:v>
      </x:c>
      <x:c r="L2" s="13" t="str">
        <x:v>Unknown</x:v>
      </x:c>
      <x:c r="M2" s="13" t="str">
        <x:v>A multimedia demonstration is provided, but no code repository was identified in the supplied manuscript.</x:v>
      </x:c>
      <x:c r="N2" s="13" t="str">
        <x:v>Manipulation; Service Robotics; Human-Robot Collaboration</x:v>
      </x:c>
      <x:c r="O2" s="13" t="str">
        <x:v>Planning; Human-Robot Collaboration; Learning from Demonstration</x:v>
      </x:c>
      <x:c r="P2" s="13" t="str">
        <x:v>Yes</x:v>
      </x:c>
      <x:c r="Q2" s="13" t="str">
        <x:v>Yes</x:v>
      </x:c>
      <x:c r="R2" s="13" t="str">
        <x:v>Yes</x:v>
      </x:c>
      <x:c r="S2" s="13" t="str">
        <x:v>No</x:v>
      </x:c>
      <x:c r="T2" s="13" t="str">
        <x:v>None</x:v>
      </x:c>
      <x:c r="U2" s="13" t="str">
        <x:v>N/A — environment information is supplied by object detection and depth sensing rather than a learned predictive dynamics model.</x:v>
      </x:c>
      <x:c r="V2" s="13" t="str">
        <x:v>N/A</x:v>
      </x:c>
      <x:c r="W2" s="13" t="str">
        <x:v>N/A</x:v>
      </x:c>
      <x:c r="X2" s="13" t="str">
        <x:v>N/A</x:v>
      </x:c>
      <x:c r="Y2" s="13" t="str">
        <x:v>No</x:v>
      </x:c>
      <x:c r="Z2" s="13" t="str">
        <x:v>Yes</x:v>
      </x:c>
      <x:c r="AA2" s="13" t="str">
        <x:v>Language Planner; Hierarchical</x:v>
      </x:c>
      <x:c r="AB2" s="13" t="str">
        <x:v>Symbolic / Programmatic motion-function sequences</x:v>
      </x:c>
      <x:c r="AC2" s="13" t="str">
        <x:v>Long</x:v>
      </x:c>
      <x:c r="AD2" s="13" t="str">
        <x:v>GPT-4 classifies temporally extended tasks and decomposes them into subtasks, each containing multiple executable motion functions.</x:v>
      </x:c>
      <x:c r="AE2" s="13" t="str">
        <x:v>Yes</x:v>
      </x:c>
      <x:c r="AF2" s="13" t="str">
        <x:v>Yes — environment perception is refreshed between subtasks and failed skills can be replaced through human teleoperation</x:v>
      </x:c>
      <x:c r="AG2" s="13" t="str">
        <x:v>High-Level Planner</x:v>
      </x:c>
      <x:c r="AH2" s="13" t="str">
        <x:v>Prompting; Learning from Demonstration; Dynamic Movement Primitives</x:v>
      </x:c>
      <x:c r="AI2" s="13" t="str">
        <x:v>Skill Library; DMP</x:v>
      </x:c>
      <x:c r="AJ2" s="13" t="str">
        <x:v>Yes — GPT-4 and YOLOv5</x:v>
      </x:c>
      <x:c r="AK2" s="13" t="str">
        <x:v>Language; RGB-D; object detections and coordinates; teleoperation demonstrations</x:v>
      </x:c>
      <x:c r="AL2" s="13" t="str">
        <x:v>Natural-language instruction</x:v>
      </x:c>
      <x:c r="AM2" s="13" t="str">
        <x:v>Hybrid: discrete motion-function selection plus continuous DMP trajectories</x:v>
      </x:c>
      <x:c r="AN2" s="13" t="str">
        <x:v>Custom real-world tasks including cleaning a table, warming food, roasting food, and opening an oven or cabinet</x:v>
      </x:c>
      <x:c r="AO2" s="13" t="str">
        <x:v>Toyota Human Support Robot</x:v>
      </x:c>
      <x:c r="AP2" s="13" t="str">
        <x:v>No</x:v>
      </x:c>
      <x:c r="AQ2" s="13" t="str">
        <x:v>Yes</x:v>
      </x:c>
      <x:c r="AR2" s="13" t="str">
        <x:v>Combines GPT-4 hierarchical task decomposition, visual grounding, and human-taught DMP skills to execute complex real-world manipulation tasks.</x:v>
      </x:c>
      <x:c r="AS2" s="13" t="str">
        <x:v>Uses teleoperation not only for intervention but to create reusable trajectory skills that expand the LLM-accessible motion library.</x:v>
      </x:c>
      <x:c r="AT2" s="13" t="str">
        <x:v>Performance is sensitive to object-localization error, LLM token variability, incorrect DMP calls, human intervention requirements, and compounding subtask failures.</x:v>
      </x:c>
      <x:c r="AU2" s="13" t="str">
        <x:v>Integrate LiDAR point clouds and tactile sensing to improve real-world perception and manipulation reliability.</x:v>
      </x:c>
      <x:c r="AV2" s="13" t="str">
        <x:v>The system perceives current object locations with YOLOv5 and an RGB-D camera but does not predict future environmental states.</x:v>
      </x:c>
      <x:c r="AW2" s="13" t="str">
        <x:v>GPT-4 decomposes long-horizon commands into subtasks and then maps each subtask to executable motion functions.</x:v>
      </x:c>
      <x:c r="AX2" s="13" t="str">
        <x:v>The paper explicitly evaluates long-horizon tasks and notes that their success decreases through accumulated subtask errors.</x:v>
      </x:c>
      <x:c r="AY2" s="13" t="str">
        <x:v>High</x:v>
      </x:c>
      <x:c r="AZ2" s="13" t="str">
        <x:v>Core long-horizon language-planning and HRC paper; not a world-model method.</x:v>
      </x:c>
      <x:c r="BA2" s="13" t="str">
        <x:v>Enhancing the LLM-Based Robot Manipulation Through Human-Robot Collaboration.txt</x:v>
      </x:c>
    </x:row>
    <x:row r="3">
      <x:c r="A3" s="13" t="str">
        <x:v>batch_04</x:v>
      </x:c>
      <x:c r="B3" s="13" t="str">
        <x:v>B04-002</x:v>
      </x:c>
      <x:c r="C3" s="13" t="str">
        <x:v>Extended Tree Search for Robot Task and Motion Planning</x:v>
      </x:c>
      <x:c r="D3" s="13" t="str">
        <x:v>Tianyu Ren; Georgia Chalvatzaki; Jan Peters</x:v>
      </x:c>
      <x:c r="E3" s="13" t="n">
        <x:v>2021</x:v>
      </x:c>
      <x:c r="F3" s="13" t="str">
        <x:v>First public appearance: arXiv:2103.05456 in March 2021; supplied manuscript revision dated October 2021</x:v>
      </x:c>
      <x:c r="G3" s="13" t="str">
        <x:v>arXiv</x:v>
      </x:c>
      <x:c r="H3" s="13" t="str">
        <x:v>Preprint</x:v>
      </x:c>
      <x:c r="I3" s="13" t="str">
        <x:v>Method</x:v>
      </x:c>
      <x:c r="J3" s="13" t="str"/>
      <x:c r="K3" s="13" t="str">
        <x:v>arXiv:2103.05456</x:v>
      </x:c>
      <x:c r="L3" s="13" t="str">
        <x:v>Yes</x:v>
      </x:c>
      <x:c r="M3" s="13" t="str">
        <x:v>Code repository reported by the paper: https://github.com/ttianyuren/eTAMP</x:v>
      </x:c>
      <x:c r="N3" s="13" t="str">
        <x:v>Manipulation; Task and Motion Planning</x:v>
      </x:c>
      <x:c r="O3" s="13" t="str">
        <x:v>Planning; Integrated Task and Motion Planning</x:v>
      </x:c>
      <x:c r="P3" s="13" t="str">
        <x:v>Yes</x:v>
      </x:c>
      <x:c r="Q3" s="13" t="str">
        <x:v>No</x:v>
      </x:c>
      <x:c r="R3" s="13" t="str">
        <x:v>No</x:v>
      </x:c>
      <x:c r="S3" s="13" t="str">
        <x:v>No</x:v>
      </x:c>
      <x:c r="T3" s="13" t="str">
        <x:v>None</x:v>
      </x:c>
      <x:c r="U3" s="13" t="str">
        <x:v>N/A — planning uses explicit symbolic domain models and geometric simulation rather than learned dynamics.</x:v>
      </x:c>
      <x:c r="V3" s="13" t="str">
        <x:v>N/A</x:v>
      </x:c>
      <x:c r="W3" s="13" t="str">
        <x:v>N/A</x:v>
      </x:c>
      <x:c r="X3" s="13" t="str">
        <x:v>N/A</x:v>
      </x:c>
      <x:c r="Y3" s="13" t="str">
        <x:v>No</x:v>
      </x:c>
      <x:c r="Z3" s="13" t="str">
        <x:v>Yes</x:v>
      </x:c>
      <x:c r="AA3" s="13" t="str">
        <x:v>Tree Search; Hierarchical Task and Motion Planning</x:v>
      </x:c>
      <x:c r="AB3" s="13" t="str">
        <x:v>Hybrid: symbolic task skeletons plus continuous geometric motion bindings</x:v>
      </x:c>
      <x:c r="AC3" s="13" t="str">
        <x:v>Long</x:v>
      </x:c>
      <x:c r="AD3" s="13" t="str">
        <x:v>The planner jointly searches multi-stage symbolic operator sequences and all associated continuous motion parameters for task-level solutions.</x:v>
      </x:c>
      <x:c r="AE3" s="13" t="str">
        <x:v>Yes</x:v>
      </x:c>
      <x:c r="AF3" s="13" t="str">
        <x:v>No — plans are computed before execution in the evaluated framework</x:v>
      </x:c>
      <x:c r="AG3" s="13" t="str">
        <x:v>Full End-to-End Planner</x:v>
      </x:c>
      <x:c r="AH3" s="13" t="str">
        <x:v>None — search-based planning</x:v>
      </x:c>
      <x:c r="AI3" s="13" t="str">
        <x:v>None</x:v>
      </x:c>
      <x:c r="AJ3" s="13" t="str">
        <x:v>No</x:v>
      </x:c>
      <x:c r="AK3" s="13" t="str">
        <x:v>Structured symbolic and geometric environment state</x:v>
      </x:c>
      <x:c r="AL3" s="13" t="str">
        <x:v>Symbolic goal state</x:v>
      </x:c>
      <x:c r="AM3" s="13" t="str">
        <x:v>Hybrid: discrete operators and continuous motion-variable bindings</x:v>
      </x:c>
      <x:c r="AN3" s="13" t="str">
        <x:v>Kitchen; Hanoi Tower; Unpacking; Regrasping</x:v>
      </x:c>
      <x:c r="AO3" s="13" t="str">
        <x:v>7-DoF manipulator; PR2 arm; 10-DoF mobile manipulator in PyBullet</x:v>
      </x:c>
      <x:c r="AP3" s="13" t="str">
        <x:v>Yes</x:v>
      </x:c>
      <x:c r="AQ3" s="13" t="str">
        <x:v>No</x:v>
      </x:c>
      <x:c r="AR3" s="13" t="str">
        <x:v>Unifies top-k symbolic skeleton generation, skeleton selection, and continuous motion binding inside one extended MCTS decision tree.</x:v>
      </x:c>
      <x:c r="AS3" s="13" t="str">
        <x:v>Explicitly maintains diverse backup task skeletons and uses progressive-widening UCT to optimize exploration across both skeleton and motion spaces.</x:v>
      </x:c>
      <x:c r="AT3" s="13" t="str">
        <x:v>The experiments stop at the first feasible plan rather than optimizing final motion cost, top-k generation adds overhead on simple problems, and evaluation is simulation-only.</x:v>
      </x:c>
      <x:c r="AU3" s="13" t="str">
        <x:v>Not explicitly stated in the supplied manuscript.</x:v>
      </x:c>
      <x:c r="AV3" s="13" t="str">
        <x:v>The framework relies on PDDL-style task descriptions, streams, and PyBullet feasibility checks rather than a learned world model.</x:v>
      </x:c>
      <x:c r="AW3" s="13" t="str">
        <x:v>Top-k planning creates candidate symbolic skeletons, after which MCTS searches skeleton choices and continuous bindings in a common decision tree.</x:v>
      </x:c>
      <x:c r="AX3" s="13" t="str">
        <x:v>The benchmark domains require multi-stage symbolic decisions, including eight successive binding decisions in the Hanoi Tower task.</x:v>
      </x:c>
      <x:c r="AY3" s="13" t="str">
        <x:v>High</x:v>
      </x:c>
      <x:c r="AZ3" s="13" t="str">
        <x:v>Core classical long-horizon TAMP baseline; outside the learned-world-model family but highly relevant to planning comparisons.</x:v>
      </x:c>
      <x:c r="BA3" s="13" t="str">
        <x:v>Extended Tree Search for Robotic Task and Motion Planning.txt</x:v>
      </x:c>
    </x:row>
    <x:row r="4">
      <x:c r="A4" s="13" t="str">
        <x:v>batch_04</x:v>
      </x:c>
      <x:c r="B4" s="13" t="str">
        <x:v>B04-003</x:v>
      </x:c>
      <x:c r="C4" s="13" t="str">
        <x:v>Factor Graphs: Exploiting Structure in Robotics</x:v>
      </x:c>
      <x:c r="D4" s="13" t="str">
        <x:v>Frank Dellaert</x:v>
      </x:c>
      <x:c r="E4" s="13" t="n">
        <x:v>2021</x:v>
      </x:c>
      <x:c r="F4" s="13" t="str">
        <x:v>First published as a Review in Advance on 12 Jan 2021</x:v>
      </x:c>
      <x:c r="G4" s="13" t="str">
        <x:v>Annual Review of Control, Robotics, and Autonomous Systems</x:v>
      </x:c>
      <x:c r="H4" s="13" t="str">
        <x:v>Peer-reviewed review article</x:v>
      </x:c>
      <x:c r="I4" s="13" t="str">
        <x:v>Survey</x:v>
      </x:c>
      <x:c r="J4" s="13" t="str"/>
      <x:c r="K4" s="13" t="str">
        <x:v>10.1146/annurev-control-061520-010504</x:v>
      </x:c>
      <x:c r="L4" s="13" t="str">
        <x:v>Unknown</x:v>
      </x:c>
      <x:c r="M4" s="13" t="str">
        <x:v>No single companion codebase is associated with this broad review.</x:v>
      </x:c>
      <x:c r="N4" s="13" t="str">
        <x:v>General Robotics</x:v>
      </x:c>
      <x:c r="O4" s="13" t="str">
        <x:v>Survey; Estimation; Optimization; Planning; Optimal Control</x:v>
      </x:c>
      <x:c r="P4" s="13" t="str">
        <x:v>N/A</x:v>
      </x:c>
      <x:c r="Q4" s="13" t="str">
        <x:v>N/A</x:v>
      </x:c>
      <x:c r="R4" s="13" t="str">
        <x:v>N/A</x:v>
      </x:c>
      <x:c r="S4" s="13" t="str">
        <x:v>N/A — not focused on learned world models</x:v>
      </x:c>
      <x:c r="T4" s="13" t="str">
        <x:v>N/A</x:v>
      </x:c>
      <x:c r="U4" s="13" t="str">
        <x:v>Reviews factorized probabilistic and optimization representations for robotics rather than one learned predictive model.</x:v>
      </x:c>
      <x:c r="V4" s="13" t="str">
        <x:v>N/A</x:v>
      </x:c>
      <x:c r="W4" s="13" t="str">
        <x:v>N/A</x:v>
      </x:c>
      <x:c r="X4" s="13" t="str">
        <x:v>N/A</x:v>
      </x:c>
      <x:c r="Y4" s="13" t="str">
        <x:v>N/A</x:v>
      </x:c>
      <x:c r="Z4" s="13" t="str">
        <x:v>N/A — multiple planning and control applications are reviewed</x:v>
      </x:c>
      <x:c r="AA4" s="13" t="str">
        <x:v>N/A</x:v>
      </x:c>
      <x:c r="AB4" s="13" t="str">
        <x:v>Factor graph / graphical optimization</x:v>
      </x:c>
      <x:c r="AC4" s="13" t="str">
        <x:v>N/A</x:v>
      </x:c>
      <x:c r="AD4" s="13" t="str">
        <x:v>The review covers finite-horizon control, trajectory optimization, and motion planning but does not implement one normalized planner.</x:v>
      </x:c>
      <x:c r="AE4" s="13" t="str">
        <x:v>N/A</x:v>
      </x:c>
      <x:c r="AF4" s="13" t="str">
        <x:v>N/A</x:v>
      </x:c>
      <x:c r="AG4" s="13" t="str">
        <x:v>N/A</x:v>
      </x:c>
      <x:c r="AH4" s="13" t="str">
        <x:v>N/A</x:v>
      </x:c>
      <x:c r="AI4" s="13" t="str">
        <x:v>N/A</x:v>
      </x:c>
      <x:c r="AJ4" s="13" t="str">
        <x:v>N/A</x:v>
      </x:c>
      <x:c r="AK4" s="13" t="str">
        <x:v>Multiple</x:v>
      </x:c>
      <x:c r="AL4" s="13" t="str">
        <x:v>Multiple</x:v>
      </x:c>
      <x:c r="AM4" s="13" t="str">
        <x:v>Multiple</x:v>
      </x:c>
      <x:c r="AN4" s="13" t="str">
        <x:v>Multiple robotics applications including SLAM, tracking, optimal control, motion planning, and STEAP</x:v>
      </x:c>
      <x:c r="AO4" s="13" t="str">
        <x:v>Multiple</x:v>
      </x:c>
      <x:c r="AP4" s="13" t="str">
        <x:v>Both / Survey</x:v>
      </x:c>
      <x:c r="AQ4" s="13" t="str">
        <x:v>Both / Survey</x:v>
      </x:c>
      <x:c r="AR4" s="13" t="str">
        <x:v>Presents factor graphs as a common language for exposing and exploiting local structure across robotics estimation, planning, and control problems.</x:v>
      </x:c>
      <x:c r="AS4" s="13" t="str">
        <x:v>Connects factorization structure to elimination, incremental inference, computational efficiency, algorithm design, and emerging differentiable learning systems.</x:v>
      </x:c>
      <x:c r="AT4" s="13" t="str">
        <x:v>The review identifies unresolved computational challenges in mixed discrete-continuous inference and does not provide a single end-to-end long-horizon planning system.</x:v>
      </x:c>
      <x:c r="AU4" s="13" t="str">
        <x:v>Advance discrete-continuous inference, factor-graph formulations for optimal control and hybrid task-and-motion planning, and integration with differentiable deep learning.</x:v>
      </x:c>
      <x:c r="AV4" s="13" t="str">
        <x:v>Probabilistic motion models can appear as factors, but the paper is a general optimization review rather than a learned world-model contribution.</x:v>
      </x:c>
      <x:c r="AW4" s="13" t="str">
        <x:v>The review shows how desired states, controls, dynamics, and collision costs can be represented as factors for optimal control and motion planning.</x:v>
      </x:c>
      <x:c r="AX4" s="13" t="str">
        <x:v>It covers trajectory and finite-horizon formulations broadly without reporting a paper-specific task horizon.</x:v>
      </x:c>
      <x:c r="AY4" s="13" t="str">
        <x:v>High</x:v>
      </x:c>
      <x:c r="AZ4" s="13" t="str">
        <x:v>Foundational and peripheral to the core corpus; retain for structured-planning background but exclude from method and world-model trend counts.</x:v>
      </x:c>
      <x:c r="BA4" s="13" t="str">
        <x:v>Factor Graphs.txt</x:v>
      </x:c>
    </x:row>
    <x:row r="5">
      <x:c r="A5" s="13" t="str">
        <x:v>batch_04</x:v>
      </x:c>
      <x:c r="B5" s="13" t="str">
        <x:v>B04-004</x:v>
      </x:c>
      <x:c r="C5" s="13" t="str">
        <x:v>Foundation models in robotics: Applications, challenges, and the future</x:v>
      </x:c>
      <x:c r="D5" s="13" t="str">
        <x:v>Roya Firoozi; Johnathan Tucker; Stephen Tian; Anirudha Majumdar; Jiankai Sun; Weiyu Liu; Yuke Zhu; Shuran Song; Ashish Kapoor; Karol Hausman; Brian Ichter; Danny Driess; Jiajun Wu; Cewu Lu; Mac Schwager</x:v>
      </x:c>
      <x:c r="E5" s="13" t="n">
        <x:v>2024</x:v>
      </x:c>
      <x:c r="F5" s="13" t="str">
        <x:v>Journal publication year: 2024; an earlier public preprint date was not established from the supplied manuscript</x:v>
      </x:c>
      <x:c r="G5" s="13" t="str">
        <x:v>The International Journal of Robotics Research</x:v>
      </x:c>
      <x:c r="H5" s="13" t="str">
        <x:v>Peer-reviewed journal survey</x:v>
      </x:c>
      <x:c r="I5" s="13" t="str">
        <x:v>Survey</x:v>
      </x:c>
      <x:c r="J5" s="13" t="str"/>
      <x:c r="K5" s="13" t="str">
        <x:v>10.1177/02783649241281508</x:v>
      </x:c>
      <x:c r="L5" s="13" t="str">
        <x:v>Yes</x:v>
      </x:c>
      <x:c r="M5" s="13" t="str">
        <x:v>Companion curated repository: https://github.com/robotics-survey/Awesome-Robotics-Foundation-Models</x:v>
      </x:c>
      <x:c r="N5" s="13" t="str">
        <x:v>General Robotics</x:v>
      </x:c>
      <x:c r="O5" s="13" t="str">
        <x:v>Survey; Foundation Models; Perception; Planning; Control</x:v>
      </x:c>
      <x:c r="P5" s="13" t="str">
        <x:v>N/A — survey covers high-level and embodied planning</x:v>
      </x:c>
      <x:c r="Q5" s="13" t="str">
        <x:v>N/A — many reviewed systems use language</x:v>
      </x:c>
      <x:c r="R5" s="13" t="str">
        <x:v>N/A</x:v>
      </x:c>
      <x:c r="S5" s="13" t="str">
        <x:v>N/A — visual generative and dynamics models are reviewed among broader foundation-model classes</x:v>
      </x:c>
      <x:c r="T5" s="13" t="str">
        <x:v>N/A — multiple model families reviewed</x:v>
      </x:c>
      <x:c r="U5" s="13" t="str">
        <x:v>Reviews pretrained language, vision, multimodal, generative, and embodied models across the robot autonomy stack.</x:v>
      </x:c>
      <x:c r="V5" s="13" t="str">
        <x:v>N/A</x:v>
      </x:c>
      <x:c r="W5" s="13" t="str">
        <x:v>N/A</x:v>
      </x:c>
      <x:c r="X5" s="13" t="str">
        <x:v>N/A</x:v>
      </x:c>
      <x:c r="Y5" s="13" t="str">
        <x:v>N/A</x:v>
      </x:c>
      <x:c r="Z5" s="13" t="str">
        <x:v>N/A — multiple planning paradigms are reviewed</x:v>
      </x:c>
      <x:c r="AA5" s="13" t="str">
        <x:v>N/A</x:v>
      </x:c>
      <x:c r="AB5" s="13" t="str">
        <x:v>N/A</x:v>
      </x:c>
      <x:c r="AC5" s="13" t="str">
        <x:v>N/A</x:v>
      </x:c>
      <x:c r="AD5" s="13" t="str">
        <x:v>The survey reviews task specification, code generation, value-function grounding, and embodied planning rather than one implemented horizon.</x:v>
      </x:c>
      <x:c r="AE5" s="13" t="str">
        <x:v>N/A</x:v>
      </x:c>
      <x:c r="AF5" s="13" t="str">
        <x:v>N/A</x:v>
      </x:c>
      <x:c r="AG5" s="13" t="str">
        <x:v>N/A</x:v>
      </x:c>
      <x:c r="AH5" s="13" t="str">
        <x:v>N/A</x:v>
      </x:c>
      <x:c r="AI5" s="13" t="str">
        <x:v>N/A</x:v>
      </x:c>
      <x:c r="AJ5" s="13" t="str">
        <x:v>N/A</x:v>
      </x:c>
      <x:c r="AK5" s="13" t="str">
        <x:v>Multiple</x:v>
      </x:c>
      <x:c r="AL5" s="13" t="str">
        <x:v>Multiple, prominently language</x:v>
      </x:c>
      <x:c r="AM5" s="13" t="str">
        <x:v>Multiple</x:v>
      </x:c>
      <x:c r="AN5" s="13" t="str">
        <x:v>Multiple robotics datasets, simulators, and embodied-AI benchmarks</x:v>
      </x:c>
      <x:c r="AO5" s="13" t="str">
        <x:v>Multiple</x:v>
      </x:c>
      <x:c r="AP5" s="13" t="str">
        <x:v>Both / Survey</x:v>
      </x:c>
      <x:c r="AQ5" s="13" t="str">
        <x:v>Both / Survey</x:v>
      </x:c>
      <x:c r="AR5" s="13" t="str">
        <x:v>Surveys how foundation models affect robot perception, decision-making, policy learning, task planning, control, embodied agents, and benchmarks.</x:v>
      </x:c>
      <x:c r="AS5" s="13" t="str">
        <x:v>Organizes the literature by components of the autonomy stack while emphasizing practical adoption challenges and safety risks.</x:v>
      </x:c>
      <x:c r="AT5" s="13" t="str">
        <x:v>The surveyed field is constrained by robot-data scarcity, physical and embodiment variability, uncertainty, hallucination, safety validation, latency, closed-loop distribution shift, and reproducibility.</x:v>
      </x:c>
      <x:c r="AU5" s="13" t="str">
        <x:v>Develop robot-relevant pretraining data and objectives, uncertainty and runtime monitoring, rigorous lifecycle safety evaluation, real-time inference, reproducible benchmarks, and better multimodal grounding.</x:v>
      </x:c>
      <x:c r="AV5" s="13" t="str">
        <x:v>The review includes visual generative models and dynamics prediction but treats them as one component of the wider foundation-model landscape.</x:v>
      </x:c>
      <x:c r="AW5" s="13" t="str">
        <x:v>It reviews LLM/VLM task specification, code generation, value functions, policy learning, and embodied agents capable of decomposing goals into actions.</x:v>
      </x:c>
      <x:c r="AX5" s="13" t="str">
        <x:v>No single task horizon is evaluated because this is a broad survey.</x:v>
      </x:c>
      <x:c r="AY5" s="13" t="str">
        <x:v>High</x:v>
      </x:c>
      <x:c r="AZ5" s="13" t="str">
        <x:v>Supporting survey rather than a core world-model paper; useful for foundation-model and deployment-challenge analyses.</x:v>
      </x:c>
      <x:c r="BA5" s="13" t="str">
        <x:v>Foundation models in robotics_Applications_challenges_and the future.txt</x:v>
      </x:c>
    </x:row>
    <x:row r="6">
      <x:c r="A6" s="13" t="str">
        <x:v>batch_04</x:v>
      </x:c>
      <x:c r="B6" s="13" t="str">
        <x:v>B04-005</x:v>
      </x:c>
      <x:c r="C6" s="13" t="str">
        <x:v>FurnitureBench: Reproducible Real-World Benchmark for Long-Horizon Complex Manipulation</x:v>
      </x:c>
      <x:c r="D6" s="13" t="str">
        <x:v>Minho Heo; Youngwoon Lee; Doohyun Lee; Joseph J. Lim</x:v>
      </x:c>
      <x:c r="E6" s="13" t="n">
        <x:v>2023</x:v>
      </x:c>
      <x:c r="F6" s="13" t="str">
        <x:v>Robotics: Science and Systems 2023</x:v>
      </x:c>
      <x:c r="G6" s="13" t="str">
        <x:v>Robotics: Science and Systems (RSS)</x:v>
      </x:c>
      <x:c r="H6" s="13" t="str">
        <x:v>Peer-reviewed conference article</x:v>
      </x:c>
      <x:c r="I6" s="13" t="str">
        <x:v>Benchmark</x:v>
      </x:c>
      <x:c r="J6" s="13" t="str"/>
      <x:c r="K6" s="13" t="str">
        <x:v>RSS 2023</x:v>
      </x:c>
      <x:c r="L6" s="13" t="str">
        <x:v>Yes</x:v>
      </x:c>
      <x:c r="M6" s="13" t="str">
        <x:v>Code, data, simulator, furniture models, and setup instructions are released at https://github.com/clvrai/furniture-bench</x:v>
      </x:c>
      <x:c r="N6" s="13" t="str">
        <x:v>Long-Horizon Manipulation; Furniture Assembly</x:v>
      </x:c>
      <x:c r="O6" s="13" t="str">
        <x:v>Benchmark; Imitation Learning; Offline Reinforcement Learning; Task and Motion Planning</x:v>
      </x:c>
      <x:c r="P6" s="13" t="str">
        <x:v>Yes</x:v>
      </x:c>
      <x:c r="Q6" s="13" t="str">
        <x:v>No</x:v>
      </x:c>
      <x:c r="R6" s="13" t="str">
        <x:v>No</x:v>
      </x:c>
      <x:c r="S6" s="13" t="str">
        <x:v>No</x:v>
      </x:c>
      <x:c r="T6" s="13" t="str">
        <x:v>None</x:v>
      </x:c>
      <x:c r="U6" s="13" t="str">
        <x:v>N/A — the paper introduces a benchmark and evaluates BC and IQL baselines rather than a predictive world model.</x:v>
      </x:c>
      <x:c r="V6" s="13" t="str">
        <x:v>N/A</x:v>
      </x:c>
      <x:c r="W6" s="13" t="str">
        <x:v>N/A</x:v>
      </x:c>
      <x:c r="X6" s="13" t="str">
        <x:v>N/A</x:v>
      </x:c>
      <x:c r="Y6" s="13" t="str">
        <x:v>No</x:v>
      </x:c>
      <x:c r="Z6" s="13" t="str">
        <x:v>No — no new planner is proposed</x:v>
      </x:c>
      <x:c r="AA6" s="13" t="str">
        <x:v>None</x:v>
      </x:c>
      <x:c r="AB6" s="13" t="str">
        <x:v>N/A</x:v>
      </x:c>
      <x:c r="AC6" s="13" t="str">
        <x:v>N/A</x:v>
      </x:c>
      <x:c r="AD6" s="13" t="str">
        <x:v>The benchmark tasks last approximately 600–2300 low-level steps or 60–230 seconds, but the baseline methods are direct learned policies rather than explicit planners.</x:v>
      </x:c>
      <x:c r="AE6" s="13" t="str">
        <x:v>N/A — the task itself has hierarchical phases</x:v>
      </x:c>
      <x:c r="AF6" s="13" t="str">
        <x:v>N/A</x:v>
      </x:c>
      <x:c r="AG6" s="13" t="str">
        <x:v>N/A</x:v>
      </x:c>
      <x:c r="AH6" s="13" t="str">
        <x:v>Benchmark; Imitation Learning; Offline Reinforcement Learning</x:v>
      </x:c>
      <x:c r="AI6" s="13" t="str">
        <x:v>Behavior Cloning and IQL baselines</x:v>
      </x:c>
      <x:c r="AJ6" s="13" t="str">
        <x:v>Baseline-dependent — ResNet, R3M, and VIP visual encoders are evaluated</x:v>
      </x:c>
      <x:c r="AK6" s="13" t="str">
        <x:v>Front RGB; wrist RGB; robot proprioception</x:v>
      </x:c>
      <x:c r="AL6" s="13" t="str">
        <x:v>Task-specific furniture assembly objective and phase completion</x:v>
      </x:c>
      <x:c r="AM6" s="13" t="str">
        <x:v>Continuous end-effector pose command plus gripper control</x:v>
      </x:c>
      <x:c r="AN6" s="13" t="str">
        <x:v>FurnitureBench; FurnitureSim; eight furniture models with single-skill and full-assembly evaluations</x:v>
      </x:c>
      <x:c r="AO6" s="13" t="str">
        <x:v>Franka Emika Panda</x:v>
      </x:c>
      <x:c r="AP6" s="13" t="str">
        <x:v>Yes</x:v>
      </x:c>
      <x:c r="AQ6" s="13" t="str">
        <x:v>Yes</x:v>
      </x:c>
      <x:c r="AR6" s="13" t="str">
        <x:v>Provides a reproducible real-world and simulated benchmark for long-horizon furniture assembly, including more than 200 hours and 5,000 teleoperated demonstrations.</x:v>
      </x:c>
      <x:c r="AS6" s="13" t="str">
        <x:v>Combines realistic 600–2300-step assembly tasks, standardized hardware and initialization, 3D-printable objects, a large dataset, and a paired simulator.</x:v>
      </x:c>
      <x:c r="AT6" s="13" t="str">
        <x:v>Furniture is simplified and smaller than real furniture, the setup uses one Franka arm, evaluation is mainly single-task, and FurnitureSim retains significant visual and physical sim-to-real gaps.</x:v>
      </x:c>
      <x:c r="AU6" s="13" t="str">
        <x:v>Study multitask and multi-embodiment learning, extend to multi-arm and multi-robot collaboration, improve system identification, close sim-to-real gaps, and improve sample and demonstration efficiency.</x:v>
      </x:c>
      <x:c r="AV6" s="13" t="str">
        <x:v>The paper benchmarks BC and offline RL policies and does not learn a predictive environment model.</x:v>
      </x:c>
      <x:c r="AW6" s="13" t="str">
        <x:v>Furniture assembly requires high-level ordering and path planning, but the paper itself contributes the benchmark rather than a new planner.</x:v>
      </x:c>
      <x:c r="AX6" s="13" t="str">
        <x:v>Assembly episodes span roughly 60–230 seconds and 600–2300 low-level steps with repeated grasp, align, insert, screw, and regrasp phases.</x:v>
      </x:c>
      <x:c r="AY6" s="13" t="str">
        <x:v>High</x:v>
      </x:c>
      <x:c r="AZ6" s="13" t="str">
        <x:v>Core long-horizon benchmark. Exclude from method-only planner and world-model counts, but use heavily in benchmark and horizon analyses.</x:v>
      </x:c>
      <x:c r="BA6" s="13" t="str">
        <x:v>FurnitureBench_ Reproducible Real-World Benchmark for Long-Horizon Complex Manipulation.txt</x:v>
      </x:c>
    </x:row>
  </x:sheetData>
  <x:pageMargins left="0.7" right="0.7" top="0.75" bottom="0.75" header="0.3" footer="0.3"/>
  <x:tableParts count="1">
    <x:tablePart xmlns:r="http://schemas.openxmlformats.org/officeDocument/2006/relationships" r:id="Rca9d28693c5d45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0" hidden="0" customWidth="1"/>
    <x:col min="4" max="4" width="54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public preprint or online-publication year when established; state uncertainty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Benchmark papers are not counted as proposed methods.</x:v>
      </x:c>
    </x:row>
    <x:row r="6">
      <x:c r="A6" s="13" t="str">
        <x:v>long_horizon</x:v>
      </x:c>
      <x:c r="B6" s="13" t="str">
        <x:v>Whether the evaluated task itself is long-horizon</x:v>
      </x:c>
      <x:c r="C6" s="13" t="str">
        <x:v>Yes; No; No / Unclear; N/A</x:v>
      </x:c>
      <x:c r="D6" s="13" t="str">
        <x:v>Separate task horizon from action-chunk and MPC horizon.</x:v>
      </x:c>
    </x:row>
    <x:row r="7">
      <x:c r="A7" s="13" t="str">
        <x:v>uses_world_model</x:v>
      </x:c>
      <x:c r="B7" s="13" t="str">
        <x:v>Whether the method learns predictive environment evolution</x:v>
      </x:c>
      <x:c r="C7" s="13" t="str">
        <x:v>Yes; No; Ambiguous; N/A</x:v>
      </x:c>
      <x:c r="D7" s="13" t="str">
        <x:v>Current-state perception or analytical simulation alone is not a learned world model.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the paper's proposed method explicitly optimizes or decomposes behavior</x:v>
      </x:c>
      <x:c r="C9" s="13" t="str">
        <x:v>Yes; No; N/A</x:v>
      </x:c>
      <x:c r="D9" s="13" t="str">
        <x:v>Benchmark task requirements alone do not imply that the benchmark paper proposes planning.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Tree Search; Beam Search; Graph Search; Hierarchical; Diffusion Planning; Language Planner; Policy Rollout; Optimization; Reactive; None; N/A</x:v>
      </x:c>
      <x:c r="D10" s="13" t="str"/>
    </x:row>
    <x:row r="11">
      <x:c r="A11" s="13" t="str">
        <x:v>planning_horizon</x:v>
      </x:c>
      <x:c r="B11" s="13" t="str">
        <x:v>Horizon of an explicit planner or imagined rollout</x:v>
      </x:c>
      <x:c r="C11" s="13" t="str">
        <x:v>None; Short; Medium; Long; N/A</x:v>
      </x:c>
      <x:c r="D11" s="13" t="str">
        <x:v>Task-level symbolic decomposition is Long.</x:v>
      </x:c>
    </x:row>
    <x:row r="12">
      <x:c r="A12" s="13" t="str">
        <x:v>planning_role</x:v>
      </x:c>
      <x:c r="B12" s="13" t="str">
        <x:v>Where planning occurs in the hierarchy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the plan/action sequence is refreshed from execution feedback</x:v>
      </x:c>
      <x:c r="C13" s="13" t="str">
        <x:v>Yes; No; No / Unclear; N/A; qualified text</x:v>
      </x:c>
      <x:c r="D13" s="13" t="str">
        <x:v>Distinguish feedback control, human recovery, and algorithmic replanning in notes.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Used to identify core, supporting, peripheral, or definition-sensitive entries.</x:v>
      </x:c>
    </x:row>
  </x:sheetData>
  <x:pageMargins left="0.7" right="0.7" top="0.75" bottom="0.75" header="0.3" footer="0.3"/>
  <x:tableParts count="1">
    <x:tablePart xmlns:r="http://schemas.openxmlformats.org/officeDocument/2006/relationships" r:id="R237b2a3026d14495"/>
  </x:tableParts>
</x:worksheet>
</file>