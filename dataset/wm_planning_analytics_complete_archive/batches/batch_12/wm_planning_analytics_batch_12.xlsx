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7cf26353240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74115417bb34179"/>
    <x:sheet xmlns:r="http://schemas.openxmlformats.org/officeDocument/2006/relationships" name="Annotations" sheetId="2" r:id="R3510a14c5d974105"/>
    <x:sheet xmlns:r="http://schemas.openxmlformats.org/officeDocument/2006/relationships" name="Taxonomy" sheetId="3" r:id="R8ff05d933284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horizont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b598ee8914985" /><Relationship Type="http://schemas.openxmlformats.org/officeDocument/2006/relationships/theme" Target="/xl/theme/theme1.xml" Id="Rdab7d7100e264450" /><Relationship Type="http://schemas.openxmlformats.org/officeDocument/2006/relationships/sharedStrings" Target="/xl/sharedStrings.xml" Id="Rcaa48797755649f7" /><Relationship Type="http://schemas.openxmlformats.org/officeDocument/2006/relationships/worksheet" Target="/xl/worksheets/sheet1.xml" Id="R374115417bb34179" /><Relationship Type="http://schemas.openxmlformats.org/officeDocument/2006/relationships/worksheet" Target="/xl/worksheets/sheet2.xml" Id="R3510a14c5d974105" /><Relationship Type="http://schemas.openxmlformats.org/officeDocument/2006/relationships/worksheet" Target="/xl/worksheets/sheet3.xml" Id="R8ff05d9332844b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c3722467d524c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Corpus by First-Publication Year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Methods</c:v>
          </c:tx>
          <c:cat>
            <c:strRef>
              <c:f>'Dashboard'!$A$19:$A$22</c:f>
              <c:strCache>
                <c:ptCount val="0"/>
              </c:strCache>
            </c:strRef>
          </c:cat>
          <c:val>
            <c:numRef>
              <c:f>'Dashboard'!$B$19:$B$22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Surveys</c:v>
          </c:tx>
          <c:cat>
            <c:strRef>
              <c:f>'Dashboard'!$A$19:$A$22</c:f>
              <c:strCache>
                <c:ptCount val="0"/>
              </c:strCache>
            </c:strRef>
          </c:cat>
          <c:val>
            <c:numRef>
              <c:f>'Dashboard'!$C$19:$C$22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Benchmarks</c:v>
          </c:tx>
          <c:cat>
            <c:strRef>
              <c:f>'Dashboard'!$A$19:$A$22</c:f>
              <c:strCache>
                <c:ptCount val="0"/>
              </c:strCache>
            </c:strRef>
          </c:cat>
          <c:val>
            <c:numRef>
              <c:f>'Dashboard'!$D$19:$D$22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Datasets</c:v>
          </c:tx>
          <c:cat>
            <c:strRef>
              <c:f>'Dashboard'!$A$19:$A$22</c:f>
              <c:strCache>
                <c:ptCount val="0"/>
              </c:strCache>
            </c:strRef>
          </c:cat>
          <c:val>
            <c:numRef>
              <c:f>'Dashboard'!$E$19:$E$22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16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3722467d524cd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tch12Annotations" displayName="Batch12Annotations" ref="A1:BA6" headerRowCount="1">
  <x:tableColumns count="53">
    <x:tableColumn id="1" name="batch_id"/>
    <x:tableColumn id="2" name="paper_id"/>
    <x:tableColumn id="3" name="title"/>
    <x:tableColumn id="4" name="authors"/>
    <x:tableColumn id="5" name="year"/>
    <x:tableColumn id="6" name="year_basis"/>
    <x:tableColumn id="7" name="venue"/>
    <x:tableColumn id="8" name="publication_status"/>
    <x:tableColumn id="9" name="paper_type"/>
    <x:tableColumn id="10" name="citation_count"/>
    <x:tableColumn id="11" name="doi_or_identifier"/>
    <x:tableColumn id="12" name="open_source"/>
    <x:tableColumn id="13" name="open_source_notes"/>
    <x:tableColumn id="14" name="task_domain"/>
    <x:tableColumn id="15" name="primary_problem"/>
    <x:tableColumn id="16" name="long_horizon"/>
    <x:tableColumn id="17" name="language_conditioned"/>
    <x:tableColumn id="18" name="human_robot_interaction"/>
    <x:tableColumn id="19" name="uses_world_model"/>
    <x:tableColumn id="20" name="world_model_family"/>
    <x:tableColumn id="21" name="world_model_detail"/>
    <x:tableColumn id="22" name="predictive_space"/>
    <x:tableColumn id="23" name="prediction_target"/>
    <x:tableColumn id="24" name="action_conditioned"/>
    <x:tableColumn id="25" name="video_prediction"/>
    <x:tableColumn id="26" name="uses_planning"/>
    <x:tableColumn id="27" name="planning_method"/>
    <x:tableColumn id="28" name="planning_representation"/>
    <x:tableColumn id="29" name="planning_horizon"/>
    <x:tableColumn id="30" name="horizon_basis"/>
    <x:tableColumn id="31" name="hierarchical_planning"/>
    <x:tableColumn id="32" name="replanning_online"/>
    <x:tableColumn id="33" name="planning_role"/>
    <x:tableColumn id="34" name="learning_type"/>
    <x:tableColumn id="35" name="policy_type"/>
    <x:tableColumn id="36" name="pretraining"/>
    <x:tableColumn id="37" name="observation_modality"/>
    <x:tableColumn id="38" name="goal_representation"/>
    <x:tableColumn id="39" name="action_space"/>
    <x:tableColumn id="40" name="benchmark"/>
    <x:tableColumn id="41" name="robot_platform"/>
    <x:tableColumn id="42" name="simulation"/>
    <x:tableColumn id="43" name="real_robot"/>
    <x:tableColumn id="44" name="main_contribution"/>
    <x:tableColumn id="45" name="novelty"/>
    <x:tableColumn id="46" name="limitations"/>
    <x:tableColumn id="47" name="future_work"/>
    <x:tableColumn id="48" name="evidence_world_model"/>
    <x:tableColumn id="49" name="evidence_planning"/>
    <x:tableColumn id="50" name="evidence_horizon"/>
    <x:tableColumn id="51" name="confidence"/>
    <x:tableColumn id="52" name="review_flags"/>
    <x:tableColumn id="53" name="source_document"/>
  </x:tableColumns>
  <x:tableStyleInfo name="TableStyleMedium2" showRowStripes="1"/>
</x:table>
</file>

<file path=xl/tables/table2.xml><?xml version="1.0" encoding="utf-8"?>
<x:table xmlns:x="http://schemas.openxmlformats.org/spreadsheetml/2006/main" id="2" name="Batch12AnnotationsTaxonomy" displayName="Batch12AnnotationsTaxonomy" ref="A1:D15" headerRowCount="1">
  <x:tableColumns count="4">
    <x:tableColumn id="1" name="Field"/>
    <x:tableColumn id="2" name="Definition"/>
    <x:tableColumn id="3" name="Allowed / normalized values"/>
    <x:tableColumn id="4" name="Annotation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fe36b6d2c884d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5fc423860b4a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6ba09f40164141" /></Relationships>
</file>

<file path=xl/worksheets/sheet1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6" hidden="0" customWidth="1"/>
    <x:col min="3" max="3" width="51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8" t="str">
        <x:v>WM &amp; Planning Analytics — Batch 12</x:v>
      </x:c>
      <x:c r="B1" s="28"/>
      <x:c r="C1" s="28"/>
      <x:c r="D1" s="28"/>
      <x:c r="E1" s="28"/>
      <x:c r="F1" s="28"/>
      <x:c r="G1" s="28"/>
      <x:c r="H1" s="28"/>
      <x:c r="I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4">
      <x:c r="A4" s="35" t="str">
        <x:v>Total papers</x:v>
      </x:c>
      <x:c r="B4" s="43" t="n">
        <x:f>COUNTA(Annotations!$C:$C)-1</x:f>
        <x:v>5</x:v>
      </x:c>
      <x:c r="D4" s="48" t="str">
        <x:v>Batch 12 interpretation notes</x:v>
      </x:c>
      <x:c r="E4" s="48"/>
      <x:c r="F4" s="48"/>
      <x:c r="G4" s="48"/>
      <x:c r="H4" s="48"/>
    </x:row>
    <x:row r="5">
      <x:c r="A5" s="35" t="str">
        <x:v>Method papers</x:v>
      </x:c>
      <x:c r="B5" s="43" t="n">
        <x:f>COUNTIF(Annotations!$I:$I,"Method")</x:f>
        <x:v>5</x:v>
      </x:c>
      <x:c r="D5" s="52" t="str">
        <x:v>• World4RL refines a policy with PPO in imagined rollouts and is not counted as an explicit planner.
• The JEPA-WM design study uses CEM-MPC over 3–30 environment steps and no physical robot deployment.
• WEAVER is long-horizon at the task level, while its explicit best-of-N test-time horizon is one 12-step chunk.
• VoxPoser includes optional learned dynamics for contact-rich tasks; most zero-shot tasks use known or heuristic models.
• VLMPC evaluates multi-subgoal tasks, but its finite candidate horizon T is not numerically reported in the main paper.</x:v>
      </x:c>
      <x:c r="E5" s="52"/>
      <x:c r="F5" s="52"/>
      <x:c r="G5" s="52"/>
      <x:c r="H5" s="52"/>
    </x:row>
    <x:row r="6">
      <x:c r="A6" s="35" t="str">
        <x:v>Survey papers</x:v>
      </x:c>
      <x:c r="B6" s="43" t="n">
        <x:f>COUNTIF(Annotations!$I:$I,"Survey")</x:f>
        <x:v>0</x:v>
      </x:c>
      <x:c r="D6" s="52"/>
      <x:c r="E6" s="52"/>
      <x:c r="F6" s="52"/>
      <x:c r="G6" s="52"/>
      <x:c r="H6" s="52"/>
    </x:row>
    <x:row r="7">
      <x:c r="A7" s="35" t="str">
        <x:v>Benchmark papers</x:v>
      </x:c>
      <x:c r="B7" s="43" t="n">
        <x:f>COUNTIF(Annotations!$I:$I,"Benchmark")</x:f>
        <x:v>0</x:v>
      </x:c>
      <x:c r="D7" s="52"/>
      <x:c r="E7" s="52"/>
      <x:c r="F7" s="52"/>
      <x:c r="G7" s="52"/>
      <x:c r="H7" s="52"/>
    </x:row>
    <x:row r="8">
      <x:c r="A8" s="35" t="str">
        <x:v>Dataset papers</x:v>
      </x:c>
      <x:c r="B8" s="43" t="n">
        <x:f>COUNTIF(Annotations!$I:$I,"Dataset")</x:f>
        <x:v>0</x:v>
      </x:c>
      <x:c r="D8" s="52"/>
      <x:c r="E8" s="52"/>
      <x:c r="F8" s="52"/>
      <x:c r="G8" s="52"/>
      <x:c r="H8" s="52"/>
    </x:row>
    <x:row r="9">
      <x:c r="A9" s="35" t="str">
        <x:v>Method papers using world models</x:v>
      </x:c>
      <x:c r="B9" s="43" t="n">
        <x:f>COUNTIFS(Annotations!$I:$I,"Method",Annotations!$S:$S,"Yes")</x:f>
        <x:v>5</x:v>
      </x:c>
      <x:c r="D9" s="52"/>
      <x:c r="E9" s="52"/>
      <x:c r="F9" s="52"/>
      <x:c r="G9" s="52"/>
      <x:c r="H9" s="52"/>
    </x:row>
    <x:row r="10">
      <x:c r="A10" s="35" t="str">
        <x:v>Definition-sensitive WM papers</x:v>
      </x:c>
      <x:c r="B10" s="43" t="n">
        <x:f>COUNTIFS(Annotations!$I:$I,"Method",Annotations!$S:$S,"Ambiguous")</x:f>
        <x:v>0</x:v>
      </x:c>
      <x:c r="D10" s="52"/>
      <x:c r="E10" s="52"/>
      <x:c r="F10" s="52"/>
      <x:c r="G10" s="52"/>
      <x:c r="H10" s="52"/>
    </x:row>
    <x:row r="11">
      <x:c r="A11" s="35" t="str">
        <x:v>Method papers with explicit planning</x:v>
      </x:c>
      <x:c r="B11" s="43" t="n">
        <x:f>COUNTIFS(Annotations!$I:$I,"Method",Annotations!$Z:$Z,"Yes")</x:f>
        <x:v>4</x:v>
      </x:c>
      <x:c r="D11" s="52"/>
      <x:c r="E11" s="52"/>
      <x:c r="F11" s="52"/>
      <x:c r="G11" s="52"/>
      <x:c r="H11" s="52"/>
    </x:row>
    <x:row r="12">
      <x:c r="A12" s="35" t="str">
        <x:v>Long-horizon method papers</x:v>
      </x:c>
      <x:c r="B12" s="43" t="n">
        <x:f>COUNTIFS(Annotations!$I:$I,"Method",Annotations!$P:$P,"Yes")</x:f>
        <x:v>3</x:v>
      </x:c>
      <x:c r="D12" s="52"/>
      <x:c r="E12" s="52"/>
      <x:c r="F12" s="52"/>
      <x:c r="G12" s="52"/>
      <x:c r="H12" s="52"/>
    </x:row>
    <x:row r="13">
      <x:c r="A13" s="35" t="str">
        <x:v>Long-horizon benchmark papers</x:v>
      </x:c>
      <x:c r="B13" s="43" t="n">
        <x:f>COUNTIFS(Annotations!$I:$I,"Benchmark",Annotations!$P:$P,"Yes")</x:f>
        <x:v>0</x:v>
      </x:c>
    </x:row>
    <x:row r="14">
      <x:c r="A14" s="35" t="str">
        <x:v>Method papers with real-robot evaluation</x:v>
      </x:c>
      <x:c r="B14" s="43" t="n">
        <x:f>COUNTIFS(Annotations!$I:$I,"Method",Annotations!$AQ:$AQ,"Yes")</x:f>
        <x:v>4</x:v>
      </x:c>
    </x:row>
    <x:row r="15">
      <x:c r="A15" s="35" t="str">
        <x:v>High-confidence rows</x:v>
      </x:c>
      <x:c r="B15" s="43" t="n">
        <x:f>COUNTIF(Annotations!$AY:$AY,"High")</x:f>
        <x:v>5</x:v>
      </x:c>
    </x:row>
    <x:row r="18">
      <x:c r="A18" s="48" t="str">
        <x:v>Year</x:v>
      </x:c>
      <x:c r="B18" s="48" t="str">
        <x:v>Methods</x:v>
      </x:c>
      <x:c r="C18" s="48" t="str">
        <x:v>Surveys</x:v>
      </x:c>
      <x:c r="D18" s="48" t="str">
        <x:v>Benchmarks</x:v>
      </x:c>
      <x:c r="E18" s="48" t="str">
        <x:v>Datasets</x:v>
      </x:c>
    </x:row>
    <x:row r="19">
      <x:c r="A19" s="57" t="n">
        <x:v>2023</x:v>
      </x:c>
      <x:c r="B19" s="57" t="n">
        <x:f>COUNTIFS(Annotations!$E:$E,A19,Annotations!$I:$I,"Method")</x:f>
        <x:v>1</x:v>
      </x:c>
      <x:c r="C19" s="57" t="n">
        <x:f>COUNTIFS(Annotations!$E:$E,A19,Annotations!$I:$I,"Survey")</x:f>
        <x:v>0</x:v>
      </x:c>
      <x:c r="D19" s="57" t="n">
        <x:f>COUNTIFS(Annotations!$E:$E,A19,Annotations!$I:$I,"Benchmark")</x:f>
        <x:v>0</x:v>
      </x:c>
      <x:c r="E19" s="57" t="n">
        <x:f>COUNTIFS(Annotations!$E:$E,A19,Annotations!$I:$I,"Dataset")</x:f>
        <x:v>0</x:v>
      </x:c>
    </x:row>
    <x:row r="20">
      <x:c r="A20" s="57" t="n">
        <x:v>2024</x:v>
      </x:c>
      <x:c r="B20" s="57" t="n">
        <x:f>COUNTIFS(Annotations!$E:$E,A20,Annotations!$I:$I,"Method")</x:f>
        <x:v>1</x:v>
      </x:c>
      <x:c r="C20" s="57" t="n">
        <x:f>COUNTIFS(Annotations!$E:$E,A20,Annotations!$I:$I,"Survey")</x:f>
        <x:v>0</x:v>
      </x:c>
      <x:c r="D20" s="57" t="n">
        <x:f>COUNTIFS(Annotations!$E:$E,A20,Annotations!$I:$I,"Benchmark")</x:f>
        <x:v>0</x:v>
      </x:c>
      <x:c r="E20" s="57" t="n">
        <x:f>COUNTIFS(Annotations!$E:$E,A20,Annotations!$I:$I,"Dataset")</x:f>
        <x:v>0</x:v>
      </x:c>
    </x:row>
    <x:row r="21">
      <x:c r="A21" s="57" t="n">
        <x:v>2025</x:v>
      </x:c>
      <x:c r="B21" s="57" t="n">
        <x:f>COUNTIFS(Annotations!$E:$E,A21,Annotations!$I:$I,"Method")</x:f>
        <x:v>2</x:v>
      </x:c>
      <x:c r="C21" s="57" t="n">
        <x:f>COUNTIFS(Annotations!$E:$E,A21,Annotations!$I:$I,"Survey")</x:f>
        <x:v>0</x:v>
      </x:c>
      <x:c r="D21" s="57" t="n">
        <x:f>COUNTIFS(Annotations!$E:$E,A21,Annotations!$I:$I,"Benchmark")</x:f>
        <x:v>0</x:v>
      </x:c>
      <x:c r="E21" s="57" t="n">
        <x:f>COUNTIFS(Annotations!$E:$E,A21,Annotations!$I:$I,"Dataset")</x:f>
        <x:v>0</x:v>
      </x:c>
    </x:row>
    <x:row r="22">
      <x:c r="A22" s="57" t="n">
        <x:v>2026</x:v>
      </x:c>
      <x:c r="B22" s="57" t="n">
        <x:f>COUNTIFS(Annotations!$E:$E,A22,Annotations!$I:$I,"Method")</x:f>
        <x:v>1</x:v>
      </x:c>
      <x:c r="C22" s="57" t="n">
        <x:f>COUNTIFS(Annotations!$E:$E,A22,Annotations!$I:$I,"Survey")</x:f>
        <x:v>0</x:v>
      </x:c>
      <x:c r="D22" s="57" t="n">
        <x:f>COUNTIFS(Annotations!$E:$E,A22,Annotations!$I:$I,"Benchmark")</x:f>
        <x:v>0</x:v>
      </x:c>
      <x:c r="E22" s="57" t="n">
        <x:f>COUNTIFS(Annotations!$E:$E,A22,Annotations!$I:$I,"Dataset")</x:f>
        <x:v>0</x:v>
      </x:c>
    </x:row>
    <x:row r="25">
      <x:c r="A25" s="48" t="str">
        <x:v>World-model status</x:v>
      </x:c>
      <x:c r="B25" s="48" t="str">
        <x:v>Method count</x:v>
      </x:c>
      <x:c r="C25" s="48" t="str">
        <x:v>Interpretation</x:v>
      </x:c>
    </x:row>
    <x:row r="26">
      <x:c r="A26" s="13" t="str">
        <x:v>Yes</x:v>
      </x:c>
      <x:c r="B26" s="13" t="n">
        <x:f>COUNTIFS(Annotations!$I:$I,"Method",Annotations!$S:$S,A26)</x:f>
        <x:v>5</x:v>
      </x:c>
      <x:c r="C26" s="13" t="str">
        <x:v>Strict predictive environment model</x:v>
      </x:c>
    </x:row>
    <x:row r="27">
      <x:c r="A27" s="13" t="str">
        <x:v>Ambiguous</x:v>
      </x:c>
      <x:c r="B27" s="13" t="n">
        <x:f>COUNTIFS(Annotations!$I:$I,"Method",Annotations!$S:$S,A27)</x:f>
        <x:v>0</x:v>
      </x:c>
      <x:c r="C27" s="13" t="str">
        <x:v>World-model terminology without explicit environment prediction</x:v>
      </x:c>
    </x:row>
    <x:row r="28">
      <x:c r="A28" s="13" t="str">
        <x:v>No</x:v>
      </x:c>
      <x:c r="B28" s="13" t="n">
        <x:f>COUNTIFS(Annotations!$I:$I,"Method",Annotations!$S:$S,A28)</x:f>
        <x:v>0</x:v>
      </x:c>
      <x:c r="C28" s="13" t="str">
        <x:v>No learned downstream predictive environment model</x:v>
      </x:c>
    </x:row>
  </x:sheetData>
  <x:mergeCells>
    <x:mergeCell ref="A1:I2"/>
    <x:mergeCell ref="D4:H4"/>
    <x:mergeCell ref="D5:H12"/>
  </x:mergeCells>
  <x:pageMargins left="0.7" right="0.7" top="0.75" bottom="0.75" header="0.3" footer="0.3"/>
  <x:drawing xmlns:r="http://schemas.openxmlformats.org/officeDocument/2006/relationships" r:id="R7fe36b6d2c884db2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34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34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28" hidden="0" customWidth="1"/>
    <x:col min="38" max="38" width="28" hidden="0" customWidth="1"/>
    <x:col min="39" max="39" width="18" hidden="0" customWidth="1"/>
    <x:col min="40" max="40" width="28" hidden="0" customWidth="1"/>
    <x:col min="41" max="41" width="28" hidden="0" customWidth="1"/>
    <x:col min="42" max="42" width="18" hidden="0" customWidth="1"/>
    <x:col min="43" max="43" width="18" hidden="0" customWidth="1"/>
    <x:col min="44" max="44" width="34" hidden="0" customWidth="1"/>
    <x:col min="45" max="45" width="34" hidden="0" customWidth="1"/>
    <x:col min="46" max="46" width="34" hidden="0" customWidth="1"/>
    <x:col min="47" max="47" width="34" hidden="0" customWidth="1"/>
    <x:col min="48" max="48" width="34" hidden="0" customWidth="1"/>
    <x:col min="49" max="49" width="34" hidden="0" customWidth="1"/>
    <x:col min="50" max="50" width="34" hidden="0" customWidth="1"/>
    <x:col min="51" max="51" width="18" hidden="0" customWidth="1"/>
    <x:col min="52" max="52" width="34" hidden="0" customWidth="1"/>
    <x:col min="53" max="53" width="28" hidden="0" customWidth="1"/>
  </x:cols>
  <x:sheetData>
    <x:row r="1">
      <x:c r="A1" s="6" t="str">
        <x:v>batch_id</x:v>
      </x:c>
      <x:c r="B1" s="6" t="str">
        <x:v>paper_id</x:v>
      </x:c>
      <x:c r="C1" s="6" t="str">
        <x:v>title</x:v>
      </x:c>
      <x:c r="D1" s="6" t="str">
        <x:v>authors</x:v>
      </x:c>
      <x:c r="E1" s="6" t="str">
        <x:v>year</x:v>
      </x:c>
      <x:c r="F1" s="6" t="str">
        <x:v>year_basis</x:v>
      </x:c>
      <x:c r="G1" s="6" t="str">
        <x:v>venue</x:v>
      </x:c>
      <x:c r="H1" s="6" t="str">
        <x:v>publication_status</x:v>
      </x:c>
      <x:c r="I1" s="6" t="str">
        <x:v>paper_type</x:v>
      </x:c>
      <x:c r="J1" s="6" t="str">
        <x:v>citation_count</x:v>
      </x:c>
      <x:c r="K1" s="6" t="str">
        <x:v>doi_or_identifier</x:v>
      </x:c>
      <x:c r="L1" s="6" t="str">
        <x:v>open_source</x:v>
      </x:c>
      <x:c r="M1" s="6" t="str">
        <x:v>open_source_notes</x:v>
      </x:c>
      <x:c r="N1" s="6" t="str">
        <x:v>task_domain</x:v>
      </x:c>
      <x:c r="O1" s="6" t="str">
        <x:v>primary_problem</x:v>
      </x:c>
      <x:c r="P1" s="6" t="str">
        <x:v>long_horizon</x:v>
      </x:c>
      <x:c r="Q1" s="6" t="str">
        <x:v>language_conditioned</x:v>
      </x:c>
      <x:c r="R1" s="6" t="str">
        <x:v>human_robot_interaction</x:v>
      </x:c>
      <x:c r="S1" s="6" t="str">
        <x:v>uses_world_model</x:v>
      </x:c>
      <x:c r="T1" s="6" t="str">
        <x:v>world_model_family</x:v>
      </x:c>
      <x:c r="U1" s="6" t="str">
        <x:v>world_model_detail</x:v>
      </x:c>
      <x:c r="V1" s="6" t="str">
        <x:v>predictive_space</x:v>
      </x:c>
      <x:c r="W1" s="6" t="str">
        <x:v>prediction_target</x:v>
      </x:c>
      <x:c r="X1" s="6" t="str">
        <x:v>action_conditioned</x:v>
      </x:c>
      <x:c r="Y1" s="6" t="str">
        <x:v>video_prediction</x:v>
      </x:c>
      <x:c r="Z1" s="6" t="str">
        <x:v>uses_planning</x:v>
      </x:c>
      <x:c r="AA1" s="6" t="str">
        <x:v>planning_method</x:v>
      </x:c>
      <x:c r="AB1" s="6" t="str">
        <x:v>planning_representation</x:v>
      </x:c>
      <x:c r="AC1" s="6" t="str">
        <x:v>planning_horizon</x:v>
      </x:c>
      <x:c r="AD1" s="6" t="str">
        <x:v>horizon_basis</x:v>
      </x:c>
      <x:c r="AE1" s="6" t="str">
        <x:v>hierarchical_planning</x:v>
      </x:c>
      <x:c r="AF1" s="6" t="str">
        <x:v>replanning_online</x:v>
      </x:c>
      <x:c r="AG1" s="6" t="str">
        <x:v>planning_role</x:v>
      </x:c>
      <x:c r="AH1" s="6" t="str">
        <x:v>learning_type</x:v>
      </x:c>
      <x:c r="AI1" s="6" t="str">
        <x:v>policy_type</x:v>
      </x:c>
      <x:c r="AJ1" s="6" t="str">
        <x:v>pretraining</x:v>
      </x:c>
      <x:c r="AK1" s="6" t="str">
        <x:v>observation_modality</x:v>
      </x:c>
      <x:c r="AL1" s="6" t="str">
        <x:v>goal_representation</x:v>
      </x:c>
      <x:c r="AM1" s="6" t="str">
        <x:v>action_space</x:v>
      </x:c>
      <x:c r="AN1" s="6" t="str">
        <x:v>benchmark</x:v>
      </x:c>
      <x:c r="AO1" s="6" t="str">
        <x:v>robot_platform</x:v>
      </x:c>
      <x:c r="AP1" s="6" t="str">
        <x:v>simulation</x:v>
      </x:c>
      <x:c r="AQ1" s="6" t="str">
        <x:v>real_robot</x:v>
      </x:c>
      <x:c r="AR1" s="6" t="str">
        <x:v>main_contribution</x:v>
      </x:c>
      <x:c r="AS1" s="6" t="str">
        <x:v>novelty</x:v>
      </x:c>
      <x:c r="AT1" s="6" t="str">
        <x:v>limitations</x:v>
      </x:c>
      <x:c r="AU1" s="6" t="str">
        <x:v>future_work</x:v>
      </x:c>
      <x:c r="AV1" s="6" t="str">
        <x:v>evidence_world_model</x:v>
      </x:c>
      <x:c r="AW1" s="6" t="str">
        <x:v>evidence_planning</x:v>
      </x:c>
      <x:c r="AX1" s="6" t="str">
        <x:v>evidence_horizon</x:v>
      </x:c>
      <x:c r="AY1" s="6" t="str">
        <x:v>confidence</x:v>
      </x:c>
      <x:c r="AZ1" s="6" t="str">
        <x:v>review_flags</x:v>
      </x:c>
      <x:c r="BA1" s="6" t="str">
        <x:v>source_document</x:v>
      </x:c>
    </x:row>
    <x:row r="2">
      <x:c r="A2" s="13" t="str">
        <x:v>batch_12</x:v>
      </x:c>
      <x:c r="B2" s="13" t="str">
        <x:v>B12-001</x:v>
      </x:c>
      <x:c r="C2" s="13" t="str">
        <x:v>World4RL: Diffusion World Models for Policy Refinement with Reinforcement Learning for Robotic Manipulation</x:v>
      </x:c>
      <x:c r="D2" s="13" t="str">
        <x:v>Zhennan Jiang; Kai Liu; Yuxin Qin; Shuai Tian; Yupeng Zheng; Mingcai Zhou; Chao Yu; Haoran Li; Dongbin Zhao</x:v>
      </x:c>
      <x:c r="E2" s="13" t="n">
        <x:v>2025</x:v>
      </x:c>
      <x:c r="F2" s="13" t="str">
        <x:v>First public appearance: arXiv:2509.19080 in Sep 2025; supplied revision v2 dated 19 Mar 2026</x:v>
      </x:c>
      <x:c r="G2" s="13" t="str">
        <x:v>arXiv</x:v>
      </x:c>
      <x:c r="H2" s="13" t="str">
        <x:v>Preprint</x:v>
      </x:c>
      <x:c r="I2" s="13" t="str">
        <x:v>Method</x:v>
      </x:c>
      <x:c r="J2" s="13" t="str"/>
      <x:c r="K2" s="13" t="str">
        <x:v>arXiv:2509.19080</x:v>
      </x:c>
      <x:c r="L2" s="13" t="str">
        <x:v>Unknown</x:v>
      </x:c>
      <x:c r="M2" s="13" t="str">
        <x:v>No public code or model repository was identified in the supplied manuscript.</x:v>
      </x:c>
      <x:c r="N2" s="13" t="str">
        <x:v>Manipulation; World-Model-Based Reinforcement Learning</x:v>
      </x:c>
      <x:c r="O2" s="13" t="str">
        <x:v>World Modeling; Policy Refinement; Reinforcement Learning</x:v>
      </x:c>
      <x:c r="P2" s="13" t="str">
        <x:v>No</x:v>
      </x:c>
      <x:c r="Q2" s="13" t="str">
        <x:v>No</x:v>
      </x:c>
      <x:c r="R2" s="13" t="str">
        <x:v>No</x:v>
      </x:c>
      <x:c r="S2" s="13" t="str">
        <x:v>Yes</x:v>
      </x:c>
      <x:c r="T2" s="13" t="str">
        <x:v>Diffusion</x:v>
      </x:c>
      <x:c r="U2" s="13" t="str">
        <x:v>A diffusion transition model predicts future RGB observations from a four-frame action-conditioned history, while a binary reward classifier scores imagined outcomes for PPO policy refinement.</x:v>
      </x:c>
      <x:c r="V2" s="13" t="str">
        <x:v>Pixel / Observation</x:v>
      </x:c>
      <x:c r="W2" s="13" t="str">
        <x:v>Future RGB observations and sparse success reward</x:v>
      </x:c>
      <x:c r="X2" s="13" t="str">
        <x:v>Yes</x:v>
      </x:c>
      <x:c r="Y2" s="13" t="str">
        <x:v>Yes</x:v>
      </x:c>
      <x:c r="Z2" s="13" t="str">
        <x:v>No</x:v>
      </x:c>
      <x:c r="AA2" s="13" t="str">
        <x:v>None — PPO policy optimization inside frozen imagined rollouts rather than test-time action search</x:v>
      </x:c>
      <x:c r="AB2" s="13" t="str">
        <x:v>N/A</x:v>
      </x:c>
      <x:c r="AC2" s="13" t="str">
        <x:v>None</x:v>
      </x:c>
      <x:c r="AD2" s="13" t="str">
        <x:v>The world model can autoregressively generate 50-step task trajectories, but no explicit planner optimizes a candidate action sequence at deployment.</x:v>
      </x:c>
      <x:c r="AE2" s="13" t="str">
        <x:v>No</x:v>
      </x:c>
      <x:c r="AF2" s="13" t="str">
        <x:v>Yes — the refined policy acts closed loop, but there is no explicit replanning algorithm</x:v>
      </x:c>
      <x:c r="AG2" s="13" t="str">
        <x:v>Local Controller</x:v>
      </x:c>
      <x:c r="AH2" s="13" t="str">
        <x:v>Behavior Cloning; World-Model Pretraining; Proximal Policy Optimization</x:v>
      </x:c>
      <x:c r="AI2" s="13" t="str">
        <x:v>Stochastic Gaussian RL Policy</x:v>
      </x:c>
      <x:c r="AJ2" s="13" t="str">
        <x:v>Yes — policy imitation learning, diffusion dynamics pretraining, and reward-classifier training precede imagined PPO refinement</x:v>
      </x:c>
      <x:c r="AK2" s="13" t="str">
        <x:v>RGB observations</x:v>
      </x:c>
      <x:c r="AL2" s="13" t="str">
        <x:v>Task-specific sparse success reward</x:v>
      </x:c>
      <x:c r="AM2" s="13" t="str">
        <x:v>Continuous robot actions represented with two-hot encoding inside the world model</x:v>
      </x:c>
      <x:c r="AN2" s="13" t="str">
        <x:v>Six Meta-World tasks and six custom real-world tasks: open/close drawer, pick bread in/out, pick apple, and press button</x:v>
      </x:c>
      <x:c r="AO2" s="13" t="str">
        <x:v>Meta-World simulated manipulators; Franka Emika Panda</x:v>
      </x:c>
      <x:c r="AP2" s="13" t="str">
        <x:v>Yes</x:v>
      </x:c>
      <x:c r="AQ2" s="13" t="str">
        <x:v>Yes</x:v>
      </x:c>
      <x:c r="AR2" s="13" t="str">
        <x:v>Uses a high-fidelity diffusion world model as a frozen simulator for refining imitation-learned manipulation policies entirely through imagined PPO rollouts.</x:v>
      </x:c>
      <x:c r="AS2" s="13" t="str">
        <x:v>Introduces lossless two-hot continuous-action conditioning and demonstrates offline policy improvement without additional real or simulated environment interaction.</x:v>
      </x:c>
      <x:c r="AT2" s="13" t="str">
        <x:v>The current visual resolution and model capacity are moderate because of compute constraints, limiting imagined-rollout fidelity; policy learning can also exploit or suffer from imperfect learned dynamics.</x:v>
      </x:c>
      <x:c r="AU2" s="13" t="str">
        <x:v>Increase visual detail and generative capacity and develop reinforcement-learning algorithms that remain robust under imperfect world-model dynamics.</x:v>
      </x:c>
      <x:c r="AV2" s="13" t="str">
        <x:v>The diffusion transition model predicts subsequent observations conditioned on observation and action history, and the reward classifier evaluates imagined states.</x:v>
      </x:c>
      <x:c r="AW2" s="13" t="str">
        <x:v>The paper explicitly contrasts its end-to-end imagined policy optimization with world-model-based test-time planning.</x:v>
      </x:c>
      <x:c r="AX2" s="13" t="str">
        <x:v>The evaluated tasks are individual manipulation skills with 50-step trajectories, not task-level long-horizon plans.</x:v>
      </x:c>
      <x:c r="AY2" s="13" t="str">
        <x:v>High</x:v>
      </x:c>
      <x:c r="AZ2" s="13" t="str">
        <x:v>Core diffusion world-model and policy-improvement paper; exclude from explicit-planner counts.</x:v>
      </x:c>
      <x:c r="BA2" s="13" t="str">
        <x:v>World4RL_ Diffusion World Models for Policy Refinement with Reinforcement Learning for Robotic Manipulation.txt</x:v>
      </x:c>
    </x:row>
    <x:row r="3">
      <x:c r="A3" s="13" t="str">
        <x:v>batch_12</x:v>
      </x:c>
      <x:c r="B3" s="13" t="str">
        <x:v>B12-002</x:v>
      </x:c>
      <x:c r="C3" s="13" t="str">
        <x:v>What Drives Success in Physical Planning with Joint-Embedding Predictive World Models?</x:v>
      </x:c>
      <x:c r="D3" s="13" t="str">
        <x:v>Basile Terver; Tsung-Yen Yang; Jean Ponce; Adrien Bardes; Yann LeCun</x:v>
      </x:c>
      <x:c r="E3" s="13" t="n">
        <x:v>2025</x:v>
      </x:c>
      <x:c r="F3" s="13" t="str">
        <x:v>First public appearance: arXiv:2512.24497 in Dec 2025; published in TMLR in May 2026</x:v>
      </x:c>
      <x:c r="G3" s="13" t="str">
        <x:v>Transactions on Machine Learning Research</x:v>
      </x:c>
      <x:c r="H3" s="13" t="str">
        <x:v>Peer-reviewed journal article</x:v>
      </x:c>
      <x:c r="I3" s="13" t="str">
        <x:v>Method</x:v>
      </x:c>
      <x:c r="J3" s="13" t="str"/>
      <x:c r="K3" s="13" t="str">
        <x:v>arXiv:2512.24497; OpenReview cHZn5Gdh8e</x:v>
      </x:c>
      <x:c r="L3" s="13" t="str">
        <x:v>Yes</x:v>
      </x:c>
      <x:c r="M3" s="13" t="str">
        <x:v>Code, datasets, and checkpoints are released at the JEPA-WMs repository.</x:v>
      </x:c>
      <x:c r="N3" s="13" t="str">
        <x:v>General Physical Planning; Manipulation; Navigation</x:v>
      </x:c>
      <x:c r="O3" s="13" t="str">
        <x:v>World Modeling; Planning; JEPA Design Study</x:v>
      </x:c>
      <x:c r="P3" s="13" t="str">
        <x:v>No</x:v>
      </x:c>
      <x:c r="Q3" s="13" t="str">
        <x:v>No</x:v>
      </x:c>
      <x:c r="R3" s="13" t="str">
        <x:v>No</x:v>
      </x:c>
      <x:c r="S3" s="13" t="str">
        <x:v>Yes</x:v>
      </x:c>
      <x:c r="T3" s="13" t="str">
        <x:v>JEPA</x:v>
      </x:c>
      <x:c r="U3" s="13" t="str">
        <x:v>Action-conditioned JEPA world models combine a frozen visual encoder, optional proprioceptive encoder, action encoder, and an AdaLN transformer predictor trained with multistep latent rollout losses.</x:v>
      </x:c>
      <x:c r="V3" s="13" t="str">
        <x:v>Latent</x:v>
      </x:c>
      <x:c r="W3" s="13" t="str">
        <x:v>Future visual and optional proprioceptive embeddings</x:v>
      </x:c>
      <x:c r="X3" s="13" t="str">
        <x:v>Yes</x:v>
      </x:c>
      <x:c r="Y3" s="13" t="str">
        <x:v>No</x:v>
      </x:c>
      <x:c r="Z3" s="13" t="str">
        <x:v>Yes</x:v>
      </x:c>
      <x:c r="AA3" s="13" t="str">
        <x:v>MPC; Cross-Entropy Method; trajectory-optimizer comparison</x:v>
      </x:c>
      <x:c r="AB3" s="13" t="str">
        <x:v>Latent goal distance with optional proprioceptive cost</x:v>
      </x:c>
      <x:c r="AC3" s="13" t="str">
        <x:v>Medium</x:v>
      </x:c>
      <x:c r="AD3" s="13" t="str">
        <x:v>Planning spans 3–30 environment steps depending on the benchmark: H=3–6 with frame-skip 1 or 5; the best optimizer is CEM.</x:v>
      </x:c>
      <x:c r="AE3" s="13" t="str">
        <x:v>No</x:v>
      </x:c>
      <x:c r="AF3" s="13" t="str">
        <x:v>Yes</x:v>
      </x:c>
      <x:c r="AG3" s="13" t="str">
        <x:v>Full End-to-End Planner</x:v>
      </x:c>
      <x:c r="AH3" s="13" t="str">
        <x:v>Self-Supervised Latent World-Model Learning</x:v>
      </x:c>
      <x:c r="AI3" s="13" t="str">
        <x:v>None — actions are optimized at test time</x:v>
      </x:c>
      <x:c r="AJ3" s="13" t="str">
        <x:v>Yes — frozen DINOv2, DINOv3, V-JEPA, or V-JEPA-2 visual encoders are studied</x:v>
      </x:c>
      <x:c r="AK3" s="13" t="str">
        <x:v>RGB; proprioception; actions</x:v>
      </x:c>
      <x:c r="AL3" s="13" t="str">
        <x:v>Goal image encoded in latent space</x:v>
      </x:c>
      <x:c r="AM3" s="13" t="str">
        <x:v>Continuous benchmark-specific controls</x:v>
      </x:c>
      <x:c r="AN3" s="13" t="str">
        <x:v>PointMaze; Wall; Push-T; Meta-World; RoboCasa; DROID</x:v>
      </x:c>
      <x:c r="AO3" s="13" t="str">
        <x:v>Simulated navigation/manipulation agents; RoboCasa Franka; offline DROID real-robot data</x:v>
      </x:c>
      <x:c r="AP3" s="13" t="str">
        <x:v>Yes</x:v>
      </x:c>
      <x:c r="AQ3" s="13" t="str">
        <x:v>No</x:v>
      </x:c>
      <x:c r="AR3" s="13" t="str">
        <x:v>Systematically identifies the architecture, training, representation, and optimizer choices that drive successful planning with pretrained-encoder JEPA world models.</x:v>
      </x:c>
      <x:c r="AS3" s="13" t="str">
        <x:v>Provides a unified JEPA-WM recipe and finds that proprioception, multistep rollout training, task-appropriate context, AdaLN conditioning, and CEM materially improve planning.</x:v>
      </x:c>
      <x:c r="AT3" s="13" t="str">
        <x:v>Deterministic MSE predictors model the conditional mean of multimodal futures, reward-free goal-distance planning cannot directly optimize cumulative reward, and real-data experiments reveal camera and action-calibration errors.</x:v>
      </x:c>
      <x:c r="AU3" s="13" t="str">
        <x:v>Develop stochastic JEPA dynamics, such as latent-variable or latent-diffusion predictors, and integrate reward models where cumulative reward is required.</x:v>
      </x:c>
      <x:c r="AV3" s="13" t="str">
        <x:v>The predictor autoregressively forecasts future embeddings from encoded observations, proprioception, and candidate actions.</x:v>
      </x:c>
      <x:c r="AW3" s="13" t="str">
        <x:v>CEM, NeverGrad, Adam, and gradient descent are compared for optimizing action sequences through latent model rollouts; CEM is recommended.</x:v>
      </x:c>
      <x:c r="AX3" s="13" t="str">
        <x:v>The largest normalized horizon is six actions with frame-skip five, equivalent to 30 environment steps, so planning_horizon is Medium.</x:v>
      </x:c>
      <x:c r="AY3" s="13" t="str">
        <x:v>High</x:v>
      </x:c>
      <x:c r="AZ3" s="13" t="str">
        <x:v>Core JEPA planning and design-study paper. Real-world robot data are used, but no physical robot deployment is reported.</x:v>
      </x:c>
      <x:c r="BA3" s="13" t="str">
        <x:v>What Drives Successs in Physical Planning with Joint-Embedding Predictive Architecture.txt</x:v>
      </x:c>
    </x:row>
    <x:row r="4">
      <x:c r="A4" s="13" t="str">
        <x:v>batch_12</x:v>
      </x:c>
      <x:c r="B4" s="13" t="str">
        <x:v>B12-003</x:v>
      </x:c>
      <x:c r="C4" s="13" t="str">
        <x:v>WEAVER, Better, Faster, Longer: An Effective World Model for Robotic Manipulation</x:v>
      </x:c>
      <x:c r="D4" s="13" t="str">
        <x:v>Arnav Kumar Jain; Yilin Wu; Jesse Farebrother; Gokul Swamy; Andrea Bajcsy</x:v>
      </x:c>
      <x:c r="E4" s="13" t="n">
        <x:v>2026</x:v>
      </x:c>
      <x:c r="F4" s="13" t="str">
        <x:v>First public appearance: arXiv:2606.13672 in Jun 2026; supplied revision v2 dated 16 Jun 2026</x:v>
      </x:c>
      <x:c r="G4" s="13" t="str">
        <x:v>arXiv</x:v>
      </x:c>
      <x:c r="H4" s="13" t="str">
        <x:v>Preprint</x:v>
      </x:c>
      <x:c r="I4" s="13" t="str">
        <x:v>Method</x:v>
      </x:c>
      <x:c r="J4" s="13" t="str"/>
      <x:c r="K4" s="13" t="str">
        <x:v>arXiv:2606.13672</x:v>
      </x:c>
      <x:c r="L4" s="13" t="str">
        <x:v>Yes</x:v>
      </x:c>
      <x:c r="M4" s="13" t="str">
        <x:v>Code, models, and videos are released through the WEAVER project page.</x:v>
      </x:c>
      <x:c r="N4" s="13" t="str">
        <x:v>Long-Horizon Manipulation; Robot World Simulation</x:v>
      </x:c>
      <x:c r="O4" s="13" t="str">
        <x:v>World Modeling; Policy Evaluation; Policy Improvement; Test-Time Planning</x:v>
      </x:c>
      <x:c r="P4" s="13" t="str">
        <x:v>Yes</x:v>
      </x:c>
      <x:c r="Q4" s="13" t="str">
        <x:v>Yes</x:v>
      </x:c>
      <x:c r="R4" s="13" t="str">
        <x:v>No</x:v>
      </x:c>
      <x:c r="S4" s="13" t="str">
        <x:v>Yes</x:v>
      </x:c>
      <x:c r="T4" s="13" t="str">
        <x:v>Hybrid</x:v>
      </x:c>
      <x:c r="U4" s="13" t="str">
        <x:v>A multi-view latent flow-matching world model combines diffusion forcing, pretrained encoders and decoders, sparse long-term memory, recent history, and latent reward and critic heads.</x:v>
      </x:c>
      <x:c r="V4" s="13" t="str">
        <x:v>Latent</x:v>
      </x:c>
      <x:c r="W4" s="13" t="str">
        <x:v>Future multi-view visual and proprioceptive latents, rewards, and values</x:v>
      </x:c>
      <x:c r="X4" s="13" t="str">
        <x:v>Yes</x:v>
      </x:c>
      <x:c r="Y4" s="13" t="str">
        <x:v>Yes — predicted latents can be decoded into future multi-view observations</x:v>
      </x:c>
      <x:c r="Z4" s="13" t="str">
        <x:v>Yes</x:v>
      </x:c>
      <x:c r="AA4" s="13" t="str">
        <x:v>Best-of-N Test-Time Planning; Policy Rollout</x:v>
      </x:c>
      <x:c r="AB4" s="13" t="str">
        <x:v>Latent predicted advantage from reward and critic heads</x:v>
      </x:c>
      <x:c r="AC4" s="13" t="str">
        <x:v>Medium</x:v>
      </x:c>
      <x:c r="AD4" s="13" t="str">
        <x:v>Test-time steering samples four action chunks and imagines h=12 steps; the authors characterize this as short-horizon single-chunk planning constrained by latency.</x:v>
      </x:c>
      <x:c r="AE4" s="13" t="str">
        <x:v>No</x:v>
      </x:c>
      <x:c r="AF4" s="13" t="str">
        <x:v>Yes</x:v>
      </x:c>
      <x:c r="AG4" s="13" t="str">
        <x:v>Local Controller</x:v>
      </x:c>
      <x:c r="AH4" s="13" t="str">
        <x:v>Flow-Matching World-Model Learning; Reward and Value Learning; Synthetic-Data Policy Fine-Tuning</x:v>
      </x:c>
      <x:c r="AI4" s="13" t="str">
        <x:v>π0.5 Vision-Language-Action Policy with Best-of-N Steering or Synthetic-Data Fine-Tuning</x:v>
      </x:c>
      <x:c r="AJ4" s="13" t="str">
        <x:v>Yes — pretrained on DROID with pretrained encoder/decoder components and the π0.5 foundation policy</x:v>
      </x:c>
      <x:c r="AK4" s="13" t="str">
        <x:v>Language; wrist and external RGB views; proprioception; temporal memory</x:v>
      </x:c>
      <x:c r="AL4" s="13" t="str">
        <x:v>Natural-language instruction scored by learned reward and value heads</x:v>
      </x:c>
      <x:c r="AM4" s="13" t="str">
        <x:v>Continuous future action chunks</x:v>
      </x:c>
      <x:c r="AN4" s="13" t="str">
        <x:v>DROID validation and five real tasks: Stack Bowls, PnP Bag, PnP Marker, PnP Towel, and Pour Beans</x:v>
      </x:c>
      <x:c r="AO4" s="13" t="str">
        <x:v>Franka Emika Panda with external Zed 2i and wrist Zed Mini cameras</x:v>
      </x:c>
      <x:c r="AP4" s="13" t="str">
        <x:v>No</x:v>
      </x:c>
      <x:c r="AQ4" s="13" t="str">
        <x:v>Yes</x:v>
      </x:c>
      <x:c r="AR4" s="13" t="str">
        <x:v>Builds a robot world model that simultaneously supports accurate long-horizon evaluation, synthetic-data policy improvement, and low-latency test-time planning.</x:v>
      </x:c>
      <x:c r="AS4" s="13" t="str">
        <x:v>Combines latent future prediction, flow matching, diffusion forcing, multi-view memory, pretrained decoding, and latent reward/value verification in one efficient system.</x:v>
      </x:c>
      <x:c r="AT4" s="13" t="str">
        <x:v>Partial observability, deformable and dynamic contact interactions, limited embodiment and data coverage, noisy reward supervision, and generation latency still restrict planning to one action chunk.</x:v>
      </x:c>
      <x:c r="AU4" s="13" t="str">
        <x:v>Use richer sensing such as depth and touch, add physics priors, improve memory under occlusion, accelerate generation for longer lookahead, diversify embodiments, and improve reward supervision.</x:v>
      </x:c>
      <x:c r="AV4" s="13" t="str">
        <x:v>WEAVER predicts action-conditioned future latent sequences, decodable observations, and instruction-conditioned rewards and values.</x:v>
      </x:c>
      <x:c r="AW4" s="13" t="str">
        <x:v>At test time, it samples four action chunks, imagines each outcome, scores predicted advantage, and executes the best candidate.</x:v>
      </x:c>
      <x:c r="AX4" s="13" t="str">
        <x:v>The world model evaluates rollouts lasting up to 40 seconds, while explicit test-time planning uses a single 12-step action chunk.</x:v>
      </x:c>
      <x:c r="AY4" s="13" t="str">
        <x:v>High</x:v>
      </x:c>
      <x:c r="AZ4" s="13" t="str">
        <x:v>Core long-horizon world model with explicit test-time planning; task horizon is Long while numeric planning_horizon is Medium.</x:v>
      </x:c>
      <x:c r="BA4" s="13" t="str">
        <x:v>WEAVER, Better, Faster, Longer_ An Effective World Model for Robotic Manipulation.txt</x:v>
      </x:c>
    </x:row>
    <x:row r="5">
      <x:c r="A5" s="13" t="str">
        <x:v>batch_12</x:v>
      </x:c>
      <x:c r="B5" s="13" t="str">
        <x:v>B12-004</x:v>
      </x:c>
      <x:c r="C5" s="13" t="str">
        <x:v>VoxPoser: Composable 3D Value Maps for Robotic Manipulation with Language Models</x:v>
      </x:c>
      <x:c r="D5" s="13" t="str">
        <x:v>Wenlong Huang; Chen Wang; Ruohan Zhang; Yunzhu Li; Jiajun Wu; Li Fei-Fei</x:v>
      </x:c>
      <x:c r="E5" s="13" t="n">
        <x:v>2023</x:v>
      </x:c>
      <x:c r="F5" s="13" t="str">
        <x:v>First public appearance: arXiv:2307.05973 in Jul 2023; published at CoRL 2023</x:v>
      </x:c>
      <x:c r="G5" s="13" t="str">
        <x:v>Conference on Robot Learning (CoRL)</x:v>
      </x:c>
      <x:c r="H5" s="13" t="str">
        <x:v>Peer-reviewed conference article</x:v>
      </x:c>
      <x:c r="I5" s="13" t="str">
        <x:v>Method</x:v>
      </x:c>
      <x:c r="J5" s="13" t="str"/>
      <x:c r="K5" s="13" t="str">
        <x:v>arXiv:2307.05973</x:v>
      </x:c>
      <x:c r="L5" s="13" t="str">
        <x:v>Yes</x:v>
      </x:c>
      <x:c r="M5" s="13" t="str">
        <x:v>Code and videos are publicly released through the VoxPoser project.</x:v>
      </x:c>
      <x:c r="N5" s="13" t="str">
        <x:v>Language-Guided Manipulation; Open-World Robot Planning</x:v>
      </x:c>
      <x:c r="O5" s="13" t="str">
        <x:v>Planning; 3D Value Maps; Language Grounding; Optional Dynamics Learning</x:v>
      </x:c>
      <x:c r="P5" s="13" t="str">
        <x:v>Yes</x:v>
      </x:c>
      <x:c r="Q5" s="13" t="str">
        <x:v>Yes</x:v>
      </x:c>
      <x:c r="R5" s="13" t="str">
        <x:v>Yes — supports free-form instructions and corrective language feedback</x:v>
      </x:c>
      <x:c r="S5" s="13" t="str">
        <x:v>Yes</x:v>
      </x:c>
      <x:c r="T5" s="13" t="str">
        <x:v>Latent Dynamics</x:v>
      </x:c>
      <x:c r="U5" s="13" t="str">
        <x:v>Most zero-shot tasks use known or heuristic models, while contact-rich tasks learn a task-specific MLP next-state dynamics model from online transitions guided by an LLM-generated trajectory prior.</x:v>
      </x:c>
      <x:c r="V5" s="13" t="str">
        <x:v>State / 3D Point Cloud</x:v>
      </x:c>
      <x:c r="W5" s="13" t="str">
        <x:v>Next task-relevant object or scene state</x:v>
      </x:c>
      <x:c r="X5" s="13" t="str">
        <x:v>Yes</x:v>
      </x:c>
      <x:c r="Y5" s="13" t="str">
        <x:v>No</x:v>
      </x:c>
      <x:c r="Z5" s="13" t="str">
        <x:v>Yes</x:v>
      </x:c>
      <x:c r="AA5" s="13" t="str">
        <x:v>Hierarchical Language Planner; MPC; Zeroth-Order Trajectory Optimization</x:v>
      </x:c>
      <x:c r="AB5" s="13" t="str">
        <x:v>Composable 3D voxel affordance, avoidance, rotation, velocity, and gripper maps</x:v>
      </x:c>
      <x:c r="AC5" s="13" t="str">
        <x:v>Long</x:v>
      </x:c>
      <x:c r="AD5" s="13" t="str">
        <x:v>An LLM decomposes arbitrarily long instructions into task phases, while the low-level controller replans dense 6-DoF trajectories at 5 Hz.</x:v>
      </x:c>
      <x:c r="AE5" s="13" t="str">
        <x:v>Yes</x:v>
      </x:c>
      <x:c r="AF5" s="13" t="str">
        <x:v>Yes</x:v>
      </x:c>
      <x:c r="AG5" s="13" t="str">
        <x:v>Full End-to-End Planner</x:v>
      </x:c>
      <x:c r="AH5" s="13" t="str">
        <x:v>Zero-Shot Foundation-Model Prompting; Optional Online Dynamics Learning</x:v>
      </x:c>
      <x:c r="AI5" s="13" t="str">
        <x:v>None — model-based trajectory optimizer</x:v>
      </x:c>
      <x:c r="AJ5" s="13" t="str">
        <x:v>Yes — pretrained LLM and VLM components</x:v>
      </x:c>
      <x:c r="AK5" s="13" t="str">
        <x:v>Natural language; dual RGB-D cameras; 3D voxel and point-cloud representations</x:v>
      </x:c>
      <x:c r="AL5" s="13" t="str">
        <x:v>Free-form language converted into 3D value-map objectives</x:v>
      </x:c>
      <x:c r="AM5" s="13" t="str">
        <x:v>Continuous 6-DoF end-effector waypoints with gripper and velocity parameters</x:v>
      </x:c>
      <x:c r="AN5" s="13" t="str">
        <x:v>Five real-world everyday tasks; 13 simulated task families with 2,766 instructions; contact-rich door, window, and refrigerator tasks</x:v>
      </x:c>
      <x:c r="AO5" s="13" t="str">
        <x:v>Franka Emika Panda</x:v>
      </x:c>
      <x:c r="AP5" s="13" t="str">
        <x:v>Yes</x:v>
      </x:c>
      <x:c r="AQ5" s="13" t="str">
        <x:v>Yes</x:v>
      </x:c>
      <x:c r="AR5" s="13" t="str">
        <x:v>Uses LLM-generated code and VLM perception to compose dense 3D value maps that directly serve as objectives for closed-loop robot trajectory optimization.</x:v>
      </x:c>
      <x:c r="AS5" s="13" t="str">
        <x:v>Grounds open-world language affordances and constraints spatially instead of selecting a fixed skill primitive, while using synthesized trajectories as efficient priors for dynamics learning.</x:v>
      </x:c>
      <x:c r="AT5" s="13" t="str">
        <x:v>Depends on external perception modules and manual prompt engineering, lacks a general-purpose contact dynamics model, and optimizes only end-effector rather than whole-arm trajectories.</x:v>
      </x:c>
      <x:c r="AU5" s="13" t="str">
        <x:v>Use multimodal LLMs for direct grounding, reduce prompt engineering through alignment methods, learn more general dynamics, and develop stronger whole-arm trajectory optimizers.</x:v>
      </x:c>
      <x:c r="AV5" s="13" t="str">
        <x:v>For contact-rich tasks, an action-conditioned MLP predicts the next observation and is learned online from transitions collected around a zero-shot trajectory prior.</x:v>
      </x:c>
      <x:c r="AW5" s="13" t="str">
        <x:v>LLMs decompose instructions, compose value-map costs, and a closed-loop MPC optimizer repeatedly samples and scores trajectories.</x:v>
      </x:c>
      <x:c r="AX5" s="13" t="str">
        <x:v>The framework supports task-level decomposition and multi-step programs, while each low-level trajectory is replanned continuously.</x:v>
      </x:c>
      <x:c r="AY5" s="13" t="str">
        <x:v>High</x:v>
      </x:c>
      <x:c r="AZ5" s="13" t="str">
        <x:v>World-model use is optional and task-specific: most zero-shot experiments use known or heuristic dynamics, but the paper includes an evaluated learned predictive model.</x:v>
      </x:c>
      <x:c r="BA5" s="13" t="str">
        <x:v>VoxPoser_ Composable 3D Value Maps for Robotic Manipulation with Language Models.txt</x:v>
      </x:c>
    </x:row>
    <x:row r="6">
      <x:c r="A6" s="13" t="str">
        <x:v>batch_12</x:v>
      </x:c>
      <x:c r="B6" s="13" t="str">
        <x:v>B12-005</x:v>
      </x:c>
      <x:c r="C6" s="13" t="str">
        <x:v>VLMPC: Vision-Language Model Predictive Control for Robotic Manipulation</x:v>
      </x:c>
      <x:c r="D6" s="13" t="str">
        <x:v>Wentao Zhao; Jiaming Chen; Ziyu Meng; Donghui Mao; Ran Song; Wei Zhang</x:v>
      </x:c>
      <x:c r="E6" s="13" t="n">
        <x:v>2024</x:v>
      </x:c>
      <x:c r="F6" s="13" t="str">
        <x:v>Published at Robotics: Science and Systems 2024</x:v>
      </x:c>
      <x:c r="G6" s="13" t="str">
        <x:v>Robotics: Science and Systems (RSS)</x:v>
      </x:c>
      <x:c r="H6" s="13" t="str">
        <x:v>Peer-reviewed conference article</x:v>
      </x:c>
      <x:c r="I6" s="13" t="str">
        <x:v>Method</x:v>
      </x:c>
      <x:c r="J6" s="13" t="str"/>
      <x:c r="K6" s="13" t="str">
        <x:v>RSS 2024</x:v>
      </x:c>
      <x:c r="L6" s="13" t="str">
        <x:v>Yes</x:v>
      </x:c>
      <x:c r="M6" s="13" t="str">
        <x:v>Code is publicly released at the VLMPC repository.</x:v>
      </x:c>
      <x:c r="N6" s="13" t="str">
        <x:v>Language-Guided Manipulation; Vision-Based Model Predictive Control</x:v>
      </x:c>
      <x:c r="O6" s="13" t="str">
        <x:v>World Modeling; Planning; Vision-Language Reasoning</x:v>
      </x:c>
      <x:c r="P6" s="13" t="str">
        <x:v>Yes</x:v>
      </x:c>
      <x:c r="Q6" s="13" t="str">
        <x:v>Yes — also accepts a goal image</x:v>
      </x:c>
      <x:c r="R6" s="13" t="str">
        <x:v>No</x:v>
      </x:c>
      <x:c r="S6" s="13" t="str">
        <x:v>Yes</x:v>
      </x:c>
      <x:c r="T6" s="13" t="str">
        <x:v>Video Prediction</x:v>
      </x:c>
      <x:c r="U6" s="13" t="str">
        <x:v>DMVFN-Act is a lightweight action-conditioned video predictor that autoregressively generates future RGB frames for VLM-guided candidate action sequences.</x:v>
      </x:c>
      <x:c r="V6" s="13" t="str">
        <x:v>Pixel / Observation</x:v>
      </x:c>
      <x:c r="W6" s="13" t="str">
        <x:v>Future RGB frames under candidate action sequences</x:v>
      </x:c>
      <x:c r="X6" s="13" t="str">
        <x:v>Yes</x:v>
      </x:c>
      <x:c r="Y6" s="13" t="str">
        <x:v>Yes</x:v>
      </x:c>
      <x:c r="Z6" s="13" t="str">
        <x:v>Yes</x:v>
      </x:c>
      <x:c r="AA6" s="13" t="str">
        <x:v>MPC; VLM-Guided Conditional Action Sampling</x:v>
      </x:c>
      <x:c r="AB6" s="13" t="str">
        <x:v>Predicted videos scored by pixel-level and VLM knowledge-level costs</x:v>
      </x:c>
      <x:c r="AC6" s="13" t="str">
        <x:v>Short</x:v>
      </x:c>
      <x:c r="AD6" s="13" t="str">
        <x:v>Each receding-horizon iteration predicts a finite T-action sequence, executes only the first action, and repeats; the main paper does not report a normalized numeric T.</x:v>
      </x:c>
      <x:c r="AE6" s="13" t="str">
        <x:v>Yes — VLM-derived subgoals and interference objects guide a lower-level video MPC loop</x:v>
      </x:c>
      <x:c r="AF6" s="13" t="str">
        <x:v>Yes</x:v>
      </x:c>
      <x:c r="AG6" s="13" t="str">
        <x:v>Full End-to-End Planner</x:v>
      </x:c>
      <x:c r="AH6" s="13" t="str">
        <x:v>Supervised Action-Conditioned Video Prediction; Foundation-Model Prompting</x:v>
      </x:c>
      <x:c r="AI6" s="13" t="str">
        <x:v>None — sampling-based MPC</x:v>
      </x:c>
      <x:c r="AJ6" s="13" t="str">
        <x:v>Yes — GPT-4V and Qwen-VL plus DMVFN-Act pretraining on three Open X-Embodiment subsets</x:v>
      </x:c>
      <x:c r="AK6" s="13" t="str">
        <x:v>Monocular RGB; goal image or natural-language instruction; recent executed actions</x:v>
      </x:c>
      <x:c r="AL6" s="13" t="str">
        <x:v>Goal image or natural-language instruction decomposed into visual subgoals</x:v>
      </x:c>
      <x:c r="AM6" s="13" t="str">
        <x:v>Continuous 7D translation, rotation, and gripper actions</x:v>
      </x:c>
      <x:c r="AN6" s="13" t="str">
        <x:v>RoboDesk seven-task VP2 benchmark; Language Table move-to-area across 50 environments; four real-world tasks</x:v>
      </x:c>
      <x:c r="AO6" s="13" t="str">
        <x:v>Simulated Franka Panda; real UR5 robot</x:v>
      </x:c>
      <x:c r="AP6" s="13" t="str">
        <x:v>Yes</x:v>
      </x:c>
      <x:c r="AQ6" s="13" t="str">
        <x:v>Yes</x:v>
      </x:c>
      <x:c r="AR6" s="13" t="str">
        <x:v>Integrates VLM-guided action sampling and semantic video scoring with action-conditioned visual MPC for open-set robotic manipulation.</x:v>
      </x:c>
      <x:c r="AS6" s="13" t="str">
        <x:v>Uses VLMs both to bias candidate trajectories toward semantic subgoals and to evaluate predicted futures beyond pixel similarity.</x:v>
      </x:c>
      <x:c r="AT6" s="13" t="str">
        <x:v>Predicted videos can be inconsistent with their conditioning actions, VLM calls add substantial computation, and sparse semantic evaluation can fail in tightly constrained motion spaces.</x:v>
      </x:c>
      <x:c r="AU6" s="13" t="str">
        <x:v>Develop more reliable action-conditioned video prediction and a more efficient method for integrating large VLMs into every MPC step.</x:v>
      </x:c>
      <x:c r="AV6" s="13" t="str">
        <x:v>DMVFN-Act autoregressively predicts future observations frame by frame from past images and candidate actions.</x:v>
      </x:c>
      <x:c r="AW6" s="13" t="str">
        <x:v>VLMPC samples candidate action sequences, predicts their videos, scores them with hierarchical costs, and executes the first action of the best sequence.</x:v>
      </x:c>
      <x:c r="AX6" s="13" t="str">
        <x:v>Real tasks such as putting a banana in a bowl and wiping water require multiple subgoals and can run for several minutes, while each explicit MPC rollout is short.</x:v>
      </x:c>
      <x:c r="AY6" s="13" t="str">
        <x:v>High</x:v>
      </x:c>
      <x:c r="AZ6" s="13" t="str">
        <x:v>Core pixel-space world-model planner. Task horizon is Long, but numeric MPC horizon is classified Short because T is not reported in the main paper.</x:v>
      </x:c>
      <x:c r="BA6" s="13" t="str">
        <x:v>VLMPC_ Vision-Language Model Predictive Control for Robotic Manipulation.txt</x:v>
      </x:c>
    </x:row>
  </x:sheetData>
  <x:pageMargins left="0.7" right="0.7" top="0.75" bottom="0.75" header="0.3" footer="0.3"/>
  <x:tableParts count="1">
    <x:tablePart xmlns:r="http://schemas.openxmlformats.org/officeDocument/2006/relationships" r:id="Rc35fc423860b4af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9" hidden="0" customWidth="1"/>
    <x:col min="3" max="3" width="52" hidden="0" customWidth="1"/>
    <x:col min="4" max="4" width="56" hidden="0" customWidth="1"/>
  </x:cols>
  <x:sheetData>
    <x:row r="1">
      <x:c r="A1" s="20" t="str">
        <x:v>Field</x:v>
      </x:c>
      <x:c r="B1" s="20" t="str">
        <x:v>Definition</x:v>
      </x:c>
      <x:c r="C1" s="20" t="str">
        <x:v>Allowed / normalized values</x:v>
      </x:c>
      <x:c r="D1" s="20" t="str">
        <x:v>Annotation rule</x:v>
      </x:c>
    </x:row>
    <x:row r="2">
      <x:c r="A2" s="13" t="str">
        <x:v>batch_id</x:v>
      </x:c>
      <x:c r="B2" s="13" t="str">
        <x:v>Annotation batch identifier</x:v>
      </x:c>
      <x:c r="C2" s="13" t="str">
        <x:v>batch_01; batch_02; …</x:v>
      </x:c>
      <x:c r="D2" s="13" t="str">
        <x:v>Used for provenance and rollback.</x:v>
      </x:c>
    </x:row>
    <x:row r="3">
      <x:c r="A3" s="13" t="str">
        <x:v>paper_id</x:v>
      </x:c>
      <x:c r="B3" s="13" t="str">
        <x:v>Stable internal identifier</x:v>
      </x:c>
      <x:c r="C3" s="13" t="str">
        <x:v>String</x:v>
      </x:c>
      <x:c r="D3" s="13" t="str">
        <x:v>Unique across all batches.</x:v>
      </x:c>
    </x:row>
    <x:row r="4">
      <x:c r="A4" s="13" t="str">
        <x:v>year</x:v>
      </x:c>
      <x:c r="B4" s="13" t="str">
        <x:v>First public appearance year</x:v>
      </x:c>
      <x:c r="C4" s="13" t="str">
        <x:v>Integer</x:v>
      </x:c>
      <x:c r="D4" s="13" t="str">
        <x:v>Use the first public preprint or original publication; preserve later venue or revision dates in year_basis.</x:v>
      </x:c>
    </x:row>
    <x:row r="5">
      <x:c r="A5" s="13" t="str">
        <x:v>paper_type</x:v>
      </x:c>
      <x:c r="B5" s="13" t="str">
        <x:v>Nature of the paper</x:v>
      </x:c>
      <x:c r="C5" s="13" t="str">
        <x:v>Method; Survey; Benchmark; Dataset</x:v>
      </x:c>
      <x:c r="D5" s="13" t="str">
        <x:v>Non-method papers are excluded from proposed-method counts.</x:v>
      </x:c>
    </x:row>
    <x:row r="6">
      <x:c r="A6" s="13" t="str">
        <x:v>long_horizon</x:v>
      </x:c>
      <x:c r="B6" s="13" t="str">
        <x:v>Whether the evaluated task is temporally extended</x:v>
      </x:c>
      <x:c r="C6" s="13" t="str">
        <x:v>Yes; No; No / Unclear; N/A</x:v>
      </x:c>
      <x:c r="D6" s="13" t="str">
        <x:v>Keep task duration separate from numeric model or MPC horizon.</x:v>
      </x:c>
    </x:row>
    <x:row r="7">
      <x:c r="A7" s="13" t="str">
        <x:v>uses_world_model</x:v>
      </x:c>
      <x:c r="B7" s="13" t="str">
        <x:v>Whether the method predicts environment evolution</x:v>
      </x:c>
      <x:c r="C7" s="13" t="str">
        <x:v>Yes; No; Ambiguous; N/A</x:v>
      </x:c>
      <x:c r="D7" s="13" t="str">
        <x:v>Optional but evaluated learned dynamics can qualify, with the scope stated in review_flags.</x:v>
      </x:c>
    </x:row>
    <x:row r="8">
      <x:c r="A8" s="13" t="str">
        <x:v>world_model_family</x:v>
      </x:c>
      <x:c r="B8" s="13" t="str">
        <x:v>Primary normalized world-model family</x:v>
      </x:c>
      <x:c r="C8" s="13" t="str">
        <x:v>JEPA; Latent Dynamics; RSSM; Diffusion; Video Prediction; Transformer; VAE; Object-Centric; Hybrid; None; N/A</x:v>
      </x:c>
      <x:c r="D8" s="13" t="str"/>
    </x:row>
    <x:row r="9">
      <x:c r="A9" s="13" t="str">
        <x:v>uses_planning</x:v>
      </x:c>
      <x:c r="B9" s="13" t="str">
        <x:v>Whether behavior is explicitly optimized through search, rollout selection, or structured decomposition</x:v>
      </x:c>
      <x:c r="C9" s="13" t="str">
        <x:v>Yes; No; N/A</x:v>
      </x:c>
      <x:c r="D9" s="13" t="str">
        <x:v>Policy training in imagination without test-time action optimization is No.</x:v>
      </x:c>
    </x:row>
    <x:row r="10">
      <x:c r="A10" s="13" t="str">
        <x:v>planning_method</x:v>
      </x:c>
      <x:c r="B10" s="13" t="str">
        <x:v>Primary normalized planning mechanism</x:v>
      </x:c>
      <x:c r="C10" s="13" t="str">
        <x:v>MPC; CEM; Best-of-N; Zeroth-Order Optimization; Bayesian Optimization; MCTS; MIP; A*; Graph Search; Hierarchical; Language Planner; None; N/A</x:v>
      </x:c>
      <x:c r="D10" s="13" t="str"/>
    </x:row>
    <x:row r="11">
      <x:c r="A11" s="13" t="str">
        <x:v>planning_horizon</x:v>
      </x:c>
      <x:c r="B11" s="13" t="str">
        <x:v>Horizon of explicit planning</x:v>
      </x:c>
      <x:c r="C11" s="13" t="str">
        <x:v>None; Short; Medium; Long; N/A</x:v>
      </x:c>
      <x:c r="D11" s="13" t="str">
        <x:v>Short &lt;10 actions; Medium 10–50; Long &gt;50 or task-level decomposition.</x:v>
      </x:c>
    </x:row>
    <x:row r="12">
      <x:c r="A12" s="13" t="str">
        <x:v>planning_role</x:v>
      </x:c>
      <x:c r="B12" s="13" t="str">
        <x:v>Where planning or action generation occurs</x:v>
      </x:c>
      <x:c r="C12" s="13" t="str">
        <x:v>None; Local Controller; Skill Planner; High-Level Planner; Full End-to-End Planner; N/A</x:v>
      </x:c>
      <x:c r="D12" s="13" t="str"/>
    </x:row>
    <x:row r="13">
      <x:c r="A13" s="13" t="str">
        <x:v>replanning_online</x:v>
      </x:c>
      <x:c r="B13" s="13" t="str">
        <x:v>Whether actions or plans are refreshed using new observations</x:v>
      </x:c>
      <x:c r="C13" s="13" t="str">
        <x:v>Yes; No; No / Unclear; N/A; qualified text</x:v>
      </x:c>
      <x:c r="D13" s="13" t="str">
        <x:v>Direct policy refresh can be Yes while uses_planning remains No.</x:v>
      </x:c>
    </x:row>
    <x:row r="14">
      <x:c r="A14" s="13" t="str">
        <x:v>confidence</x:v>
      </x:c>
      <x:c r="B14" s="13" t="str">
        <x:v>Confidence in the annotation row</x:v>
      </x:c>
      <x:c r="C14" s="13" t="str">
        <x:v>High; Medium; Low</x:v>
      </x:c>
      <x:c r="D14" s="13" t="str">
        <x:v>Put field-specific uncertainty in review_flags.</x:v>
      </x:c>
    </x:row>
    <x:row r="15">
      <x:c r="A15" s="13" t="str">
        <x:v>review_flags</x:v>
      </x:c>
      <x:c r="B15" s="13" t="str">
        <x:v>Scope and interpretation notes</x:v>
      </x:c>
      <x:c r="C15" s="13" t="str">
        <x:v>Free text</x:v>
      </x:c>
      <x:c r="D15" s="13" t="str">
        <x:v>Preserves distinctions among imagined policy learning, explicit planning, and optional dynamics.</x:v>
      </x:c>
    </x:row>
  </x:sheetData>
  <x:pageMargins left="0.7" right="0.7" top="0.75" bottom="0.75" header="0.3" footer="0.3"/>
  <x:tableParts count="1">
    <x:tablePart xmlns:r="http://schemas.openxmlformats.org/officeDocument/2006/relationships" r:id="R7c6ba09f40164141"/>
  </x:tableParts>
</x:worksheet>
</file>