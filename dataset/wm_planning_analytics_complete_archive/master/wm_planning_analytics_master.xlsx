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ed59715328e4484" /></Relationships>
</file>

<file path=xl/workbook.xml><?xml version="1.0" encoding="utf-8"?>
<x:workbook xmlns:x="http://schemas.openxmlformats.org/spreadsheetml/2006/main">
  <x:sheets>
    <x:sheet xmlns:r="http://schemas.openxmlformats.org/officeDocument/2006/relationships" name="Dashboard" sheetId="1" r:id="Recee56ed9398450b"/>
    <x:sheet xmlns:r="http://schemas.openxmlformats.org/officeDocument/2006/relationships" name="Annotations" sheetId="2" r:id="Rae053d2508b34517"/>
    <x:sheet xmlns:r="http://schemas.openxmlformats.org/officeDocument/2006/relationships" name="Taxonomy" sheetId="3" r:id="R299c327e83284e5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1"/>
      <x:color rgb="FFFFFFFF"/>
      <x:name val="Carlito"/>
    </x:font>
    <x:font>
      <x:b/>
      <x:sz val="16"/>
      <x:color rgb="FFFFFFFF"/>
      <x:name val="Carlito"/>
    </x:font>
    <x:font>
      <x:b/>
      <x:sz val="11"/>
      <x:name val="Carlito"/>
    </x:font>
    <x:font>
      <x:b/>
      <x:sz val="13"/>
      <x:name val="Carlito"/>
    </x:font>
  </x:fonts>
  <x:fills count="6">
    <x:fill>
      <x:patternFill patternType="none"/>
    </x:fill>
    <x:fill>
      <x:patternFill patternType="gray125"/>
    </x:fill>
    <x:fill>
      <x:patternFill patternType="solid">
        <x:fgColor rgb="FF1F4E78"/>
      </x:patternFill>
    </x:fill>
    <x:fill>
      <x:patternFill patternType="solid">
        <x:fgColor rgb="FF2F75B5"/>
      </x:patternFill>
    </x:fill>
    <x:fill>
      <x:patternFill patternType="solid">
        <x:fgColor rgb="FFD9EAF7"/>
      </x:patternFill>
    </x:fill>
    <x:fill>
      <x:patternFill patternType="solid">
        <x:fgColor rgb="FFF3F6F9"/>
      </x:patternFill>
    </x:fill>
  </x:fills>
  <x:borders count="2">
    <x:border/>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4" fillId="0" borderId="0" xfId="0" applyNumberFormat="1" applyFont="1" applyFill="1" applyBorder="1"/>
    <x:xf numFmtId="200" fontId="4" fillId="0" borderId="0" xfId="0" applyNumberFormat="1" applyFont="1" applyFill="1" applyBorder="1"/>
    <x:xf numFmtId="200" fontId="4" fillId="0" borderId="0" xfId="0" applyNumberFormat="1" applyFont="1" applyFill="1" applyBorder="1" applyAlignment="1">
      <x:alignment horizontal="center"/>
    </x:xf>
    <x:xf numFmtId="200" fontId="4" fillId="0" borderId="0" xfId="0" applyNumberFormat="1" applyFont="1" applyFill="1" applyBorder="1" applyAlignment="1">
      <x:alignment horizontal="center" vertical="center"/>
    </x:xf>
    <x:xf numFmtId="0" fontId="4" fillId="0" borderId="1" xfId="0" applyNumberFormat="1" applyFont="1" applyFill="1" applyBorder="1"/>
    <x:xf numFmtId="200" fontId="4" fillId="0" borderId="1" xfId="0" applyNumberFormat="1" applyFont="1" applyFill="1" applyBorder="1"/>
    <x:xf numFmtId="200" fontId="4" fillId="0" borderId="1" xfId="0" applyNumberFormat="1" applyFont="1" applyFill="1" applyBorder="1" applyAlignment="1">
      <x:alignment horizontal="center"/>
    </x:xf>
    <x:xf numFmtId="200" fontId="4" fillId="0" borderId="1" xfId="0" applyNumberFormat="1" applyFont="1" applyFill="1" applyBorder="1" applyAlignment="1">
      <x:alignment horizontal="center" vertical="center"/>
    </x:xf>
    <x:xf numFmtId="0" fontId="1" fillId="3" borderId="0" xfId="0" applyNumberFormat="1" applyFont="1" applyFill="1" applyBorder="1" applyAlignment="1">
      <x:alignment horizontal="center"/>
    </x:xf>
    <x:xf numFmtId="0" fontId="1" fillId="3" borderId="1" xfId="0" applyNumberFormat="1" applyFont="1" applyFill="1" applyBorder="1" applyAlignment="1">
      <x:alignment horizontal="center"/>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1" xfId="0" applyNumberFormat="1" applyFont="1" applyFill="1" applyBorder="1"/>
    <x:xf numFmtId="200" fontId="0" fillId="0"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4baae1c19f44eb" /><Relationship Type="http://schemas.openxmlformats.org/officeDocument/2006/relationships/theme" Target="/xl/theme/theme1.xml" Id="R7e26b89743f94429" /><Relationship Type="http://schemas.openxmlformats.org/officeDocument/2006/relationships/sharedStrings" Target="/xl/sharedStrings.xml" Id="Rb356099bbf2d4c55" /><Relationship Type="http://schemas.openxmlformats.org/officeDocument/2006/relationships/worksheet" Target="/xl/worksheets/sheet1.xml" Id="Recee56ed9398450b" /><Relationship Type="http://schemas.openxmlformats.org/officeDocument/2006/relationships/worksheet" Target="/xl/worksheets/sheet2.xml" Id="Rae053d2508b34517" /><Relationship Type="http://schemas.openxmlformats.org/officeDocument/2006/relationships/worksheet" Target="/xl/worksheets/sheet3.xml" Id="R299c327e83284e5f" /></Relationships>
</file>

<file path=xl/drawings/_rels/drawing1.xml.rels>&#65279;<?xml version="1.0" encoding="utf-8"?><Relationships xmlns="http://schemas.openxmlformats.org/package/2006/relationships"><Relationship Type="http://schemas.openxmlformats.org/officeDocument/2006/relationships/chart" Target="/xl/drawings/charts/chart1.xml" Id="R19a65af5134943f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Corpus by First-Publication Year</a:t>
            </a:r>
          </a:p>
        </c:rich>
      </c:tx>
      <c:overlay val="0"/>
    </c:title>
    <c:autoTitleDeleted val="0"/>
    <c:plotArea>
      <c:layout/>
      <c:lineChart>
        <c:grouping val="standard"/>
        <c:ser>
          <c:idx val="0"/>
          <c:order val="0"/>
          <c:tx>
            <c:v>Methods</c:v>
          </c:tx>
          <c:cat>
            <c:strRef>
              <c:f>'Dashboard'!$A$19:$A$26</c:f>
              <c:strCache>
                <c:ptCount val="0"/>
              </c:strCache>
            </c:strRef>
          </c:cat>
          <c:val>
            <c:numRef>
              <c:f>'Dashboard'!$B$19:$B$26</c:f>
              <c:numCache>
                <c:formatCode>0</c:formatCode>
                <c:ptCount val="0"/>
              </c:numCache>
            </c:numRef>
          </c:val>
          <c:smooth val="0"/>
        </c:ser>
        <c:ser>
          <c:idx val="1"/>
          <c:order val="1"/>
          <c:tx>
            <c:v>Surveys</c:v>
          </c:tx>
          <c:cat>
            <c:strRef>
              <c:f>'Dashboard'!$A$19:$A$26</c:f>
              <c:strCache>
                <c:ptCount val="0"/>
              </c:strCache>
            </c:strRef>
          </c:cat>
          <c:val>
            <c:numRef>
              <c:f>'Dashboard'!$C$19:$C$26</c:f>
              <c:numCache>
                <c:formatCode>0</c:formatCode>
                <c:ptCount val="0"/>
              </c:numCache>
            </c:numRef>
          </c:val>
          <c:smooth val="0"/>
        </c:ser>
        <c:ser>
          <c:idx val="2"/>
          <c:order val="2"/>
          <c:tx>
            <c:v>Benchmarks</c:v>
          </c:tx>
          <c:cat>
            <c:strRef>
              <c:f>'Dashboard'!$A$19:$A$26</c:f>
              <c:strCache>
                <c:ptCount val="0"/>
              </c:strCache>
            </c:strRef>
          </c:cat>
          <c:val>
            <c:numRef>
              <c:f>'Dashboard'!$D$19:$D$26</c:f>
              <c:numCache>
                <c:formatCode>0</c:formatCode>
                <c:ptCount val="0"/>
              </c:numCache>
            </c:numRef>
          </c:val>
          <c:smooth val="0"/>
        </c:ser>
        <c:ser>
          <c:idx val="3"/>
          <c:order val="3"/>
          <c:tx>
            <c:v>Datasets</c:v>
          </c:tx>
          <c:cat>
            <c:strRef>
              <c:f>'Dashboard'!$A$19:$A$26</c:f>
              <c:strCache>
                <c:ptCount val="0"/>
              </c:strCache>
            </c:strRef>
          </c:cat>
          <c:val>
            <c:numRef>
              <c:f>'Dashboard'!$E$19:$E$26</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16</xdr:row>
      <xdr:rowOff>0</xdr:rowOff>
    </xdr:from>
    <xdr:to>
      <xdr:col>14</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9a65af5134943ff"/>
        </a:graphicData>
      </a:graphic>
    </xdr:graphicFrame>
    <xdr:clientData/>
  </xdr:twoCellAnchor>
</xdr:wsDr>
</file>

<file path=xl/tables/table1.xml><?xml version="1.0" encoding="utf-8"?>
<x:table xmlns:x="http://schemas.openxmlformats.org/spreadsheetml/2006/main" id="1" name="MasterAnnotations" displayName="MasterAnnotations" ref="A1:BA64" headerRowCount="1">
  <x:tableColumns count="53">
    <x:tableColumn id="1" name="batch_id"/>
    <x:tableColumn id="2" name="paper_id"/>
    <x:tableColumn id="3" name="title"/>
    <x:tableColumn id="4" name="authors"/>
    <x:tableColumn id="5" name="year"/>
    <x:tableColumn id="6" name="year_basis"/>
    <x:tableColumn id="7" name="venue"/>
    <x:tableColumn id="8" name="publication_status"/>
    <x:tableColumn id="9" name="paper_type"/>
    <x:tableColumn id="10" name="citation_count"/>
    <x:tableColumn id="11" name="doi_or_identifier"/>
    <x:tableColumn id="12" name="open_source"/>
    <x:tableColumn id="13" name="open_source_notes"/>
    <x:tableColumn id="14" name="task_domain"/>
    <x:tableColumn id="15" name="primary_problem"/>
    <x:tableColumn id="16" name="long_horizon"/>
    <x:tableColumn id="17" name="language_conditioned"/>
    <x:tableColumn id="18" name="human_robot_interaction"/>
    <x:tableColumn id="19" name="uses_world_model"/>
    <x:tableColumn id="20" name="world_model_family"/>
    <x:tableColumn id="21" name="world_model_detail"/>
    <x:tableColumn id="22" name="predictive_space"/>
    <x:tableColumn id="23" name="prediction_target"/>
    <x:tableColumn id="24" name="action_conditioned"/>
    <x:tableColumn id="25" name="video_prediction"/>
    <x:tableColumn id="26" name="uses_planning"/>
    <x:tableColumn id="27" name="planning_method"/>
    <x:tableColumn id="28" name="planning_representation"/>
    <x:tableColumn id="29" name="planning_horizon"/>
    <x:tableColumn id="30" name="horizon_basis"/>
    <x:tableColumn id="31" name="hierarchical_planning"/>
    <x:tableColumn id="32" name="replanning_online"/>
    <x:tableColumn id="33" name="planning_role"/>
    <x:tableColumn id="34" name="learning_type"/>
    <x:tableColumn id="35" name="policy_type"/>
    <x:tableColumn id="36" name="pretraining"/>
    <x:tableColumn id="37" name="observation_modality"/>
    <x:tableColumn id="38" name="goal_representation"/>
    <x:tableColumn id="39" name="action_space"/>
    <x:tableColumn id="40" name="benchmark"/>
    <x:tableColumn id="41" name="robot_platform"/>
    <x:tableColumn id="42" name="simulation"/>
    <x:tableColumn id="43" name="real_robot"/>
    <x:tableColumn id="44" name="main_contribution"/>
    <x:tableColumn id="45" name="novelty"/>
    <x:tableColumn id="46" name="limitations"/>
    <x:tableColumn id="47" name="future_work"/>
    <x:tableColumn id="48" name="evidence_world_model"/>
    <x:tableColumn id="49" name="evidence_planning"/>
    <x:tableColumn id="50" name="evidence_horizon"/>
    <x:tableColumn id="51" name="confidence"/>
    <x:tableColumn id="52" name="review_flags"/>
    <x:tableColumn id="53" name="source_document"/>
  </x:tableColumns>
  <x:tableStyleInfo name="TableStyleMedium2" showRowStripes="1"/>
</x:table>
</file>

<file path=xl/tables/table2.xml><?xml version="1.0" encoding="utf-8"?>
<x:table xmlns:x="http://schemas.openxmlformats.org/spreadsheetml/2006/main" id="2" name="MasterAnnotationsTaxonomy" displayName="MasterAnnotationsTaxonomy" ref="A1:D15" headerRowCount="1">
  <x:tableColumns count="4">
    <x:tableColumn id="1" name="Field"/>
    <x:tableColumn id="2" name="Definition"/>
    <x:tableColumn id="3" name="Allowed / normalized values"/>
    <x:tableColumn id="4" name="Annotation ru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ce9be21241749d0" /></Relationships>
</file>

<file path=xl/worksheets/_rels/sheet2.xml.rels>&#65279;<?xml version="1.0" encoding="utf-8"?><Relationships xmlns="http://schemas.openxmlformats.org/package/2006/relationships"><Relationship Type="http://schemas.openxmlformats.org/officeDocument/2006/relationships/table" Target="/xl/tables/table1.xml" Id="R8f496cd0e9f54b1d" /></Relationships>
</file>

<file path=xl/worksheets/_rels/sheet3.xml.rels>&#65279;<?xml version="1.0" encoding="utf-8"?><Relationships xmlns="http://schemas.openxmlformats.org/package/2006/relationships"><Relationship Type="http://schemas.openxmlformats.org/officeDocument/2006/relationships/table" Target="/xl/tables/table2.xml" Id="R51fa4f07fbe840f7" /></Relationships>
</file>

<file path=xl/worksheets/sheet1.xml><?xml version="1.0" encoding="utf-8"?>
<x:worksheet xmlns:x="http://schemas.openxmlformats.org/spreadsheetml/2006/main">
  <x:sheetFormatPr defaultRowHeight="15"/>
  <x:cols>
    <x:col min="1" max="1" width="39" hidden="0" customWidth="1"/>
    <x:col min="2" max="2" width="16" hidden="0" customWidth="1"/>
    <x:col min="3" max="3" width="51" hidden="0" customWidth="1"/>
    <x:col min="4" max="4" width="18" hidden="0" customWidth="1"/>
    <x:col min="5" max="5" width="18" hidden="0" customWidth="1"/>
    <x:col min="6" max="6" width="18" hidden="0" customWidth="1"/>
    <x:col min="7" max="7" width="18" hidden="0" customWidth="1"/>
    <x:col min="8" max="8" width="18" hidden="0" customWidth="1"/>
  </x:cols>
  <x:sheetData>
    <x:row r="1">
      <x:c r="A1" s="28" t="str">
        <x:v>WM &amp; Planning Analytics — Final Master Dataset</x:v>
      </x:c>
      <x:c r="B1" s="28"/>
      <x:c r="C1" s="28"/>
      <x:c r="D1" s="28"/>
      <x:c r="E1" s="28"/>
      <x:c r="F1" s="28"/>
      <x:c r="G1" s="28"/>
      <x:c r="H1" s="28"/>
      <x:c r="I1" s="28"/>
    </x:row>
    <x:row r="2">
      <x:c r="A2" s="28"/>
      <x:c r="B2" s="28"/>
      <x:c r="C2" s="28"/>
      <x:c r="D2" s="28"/>
      <x:c r="E2" s="28"/>
      <x:c r="F2" s="28"/>
      <x:c r="G2" s="28"/>
      <x:c r="H2" s="28"/>
      <x:c r="I2" s="28"/>
    </x:row>
    <x:row r="4">
      <x:c r="A4" s="35" t="str">
        <x:v>Total papers</x:v>
      </x:c>
      <x:c r="B4" s="43" t="n">
        <x:f>COUNTA(Annotations!$C:$C)-1</x:f>
        <x:v>63</x:v>
      </x:c>
      <x:c r="D4" s="48" t="str">
        <x:v>Final batch interpretation notes</x:v>
      </x:c>
      <x:c r="E4" s="48"/>
      <x:c r="F4" s="48"/>
      <x:c r="G4" s="48"/>
      <x:c r="H4" s="48"/>
    </x:row>
    <x:row r="5">
      <x:c r="A5" s="35" t="str">
        <x:v>Method papers</x:v>
      </x:c>
      <x:c r="B5" s="43" t="n">
        <x:f>COUNTIF(Annotations!$I:$I,"Method")</x:f>
        <x:v>42</x:v>
      </x:c>
      <x:c r="D5" s="52" t="str">
        <x:v>• World Value Model retains future-video prediction but outputs offline progress values, so it is a world model without explicit planning.
• Its current benchmark is mostly pick-and-place; dexterous and long-horizon expansion is future work.
• The predictive-coding survey is foundational for active inference, lifelong learning, social interaction, and cognitive architectures.
• The robot-learning survey is the most policy-centric survey in the final corpus and includes policy coupling, simulation, evaluation, planning, and video generation.
• Batch 13 completes the annotated corpus and the archive includes all 13 immutable batch snapshots.</x:v>
      </x:c>
      <x:c r="E5" s="52"/>
      <x:c r="F5" s="52"/>
      <x:c r="G5" s="52"/>
      <x:c r="H5" s="52"/>
    </x:row>
    <x:row r="6">
      <x:c r="A6" s="35" t="str">
        <x:v>Survey papers</x:v>
      </x:c>
      <x:c r="B6" s="43" t="n">
        <x:f>COUNTIF(Annotations!$I:$I,"Survey")</x:f>
        <x:v>18</x:v>
      </x:c>
      <x:c r="D6" s="52"/>
      <x:c r="E6" s="52"/>
      <x:c r="F6" s="52"/>
      <x:c r="G6" s="52"/>
      <x:c r="H6" s="52"/>
    </x:row>
    <x:row r="7">
      <x:c r="A7" s="35" t="str">
        <x:v>Benchmark papers</x:v>
      </x:c>
      <x:c r="B7" s="43" t="n">
        <x:f>COUNTIF(Annotations!$I:$I,"Benchmark")</x:f>
        <x:v>2</x:v>
      </x:c>
      <x:c r="D7" s="52"/>
      <x:c r="E7" s="52"/>
      <x:c r="F7" s="52"/>
      <x:c r="G7" s="52"/>
      <x:c r="H7" s="52"/>
    </x:row>
    <x:row r="8">
      <x:c r="A8" s="35" t="str">
        <x:v>Dataset papers</x:v>
      </x:c>
      <x:c r="B8" s="43" t="n">
        <x:f>COUNTIF(Annotations!$I:$I,"Dataset")</x:f>
        <x:v>1</x:v>
      </x:c>
      <x:c r="D8" s="52"/>
      <x:c r="E8" s="52"/>
      <x:c r="F8" s="52"/>
      <x:c r="G8" s="52"/>
      <x:c r="H8" s="52"/>
    </x:row>
    <x:row r="9">
      <x:c r="A9" s="35" t="str">
        <x:v>Method papers using world models</x:v>
      </x:c>
      <x:c r="B9" s="43" t="n">
        <x:f>COUNTIFS(Annotations!$I:$I,"Method",Annotations!$S:$S,"Yes")</x:f>
        <x:v>23</x:v>
      </x:c>
      <x:c r="D9" s="52"/>
      <x:c r="E9" s="52"/>
      <x:c r="F9" s="52"/>
      <x:c r="G9" s="52"/>
      <x:c r="H9" s="52"/>
    </x:row>
    <x:row r="10">
      <x:c r="A10" s="35" t="str">
        <x:v>Definition-sensitive WM papers</x:v>
      </x:c>
      <x:c r="B10" s="43" t="n">
        <x:f>COUNTIFS(Annotations!$I:$I,"Method",Annotations!$S:$S,"Ambiguous")</x:f>
        <x:v>1</x:v>
      </x:c>
      <x:c r="D10" s="52"/>
      <x:c r="E10" s="52"/>
      <x:c r="F10" s="52"/>
      <x:c r="G10" s="52"/>
      <x:c r="H10" s="52"/>
    </x:row>
    <x:row r="11">
      <x:c r="A11" s="35" t="str">
        <x:v>Method papers with explicit planning</x:v>
      </x:c>
      <x:c r="B11" s="43" t="n">
        <x:f>COUNTIFS(Annotations!$I:$I,"Method",Annotations!$Z:$Z,"Yes")</x:f>
        <x:v>25</x:v>
      </x:c>
      <x:c r="D11" s="52"/>
      <x:c r="E11" s="52"/>
      <x:c r="F11" s="52"/>
      <x:c r="G11" s="52"/>
      <x:c r="H11" s="52"/>
    </x:row>
    <x:row r="12">
      <x:c r="A12" s="35" t="str">
        <x:v>Long-horizon method papers</x:v>
      </x:c>
      <x:c r="B12" s="43" t="n">
        <x:f>COUNTIFS(Annotations!$I:$I,"Method",Annotations!$P:$P,"Yes")</x:f>
        <x:v>19</x:v>
      </x:c>
      <x:c r="D12" s="52"/>
      <x:c r="E12" s="52"/>
      <x:c r="F12" s="52"/>
      <x:c r="G12" s="52"/>
      <x:c r="H12" s="52"/>
    </x:row>
    <x:row r="13">
      <x:c r="A13" s="35" t="str">
        <x:v>Long-horizon benchmark papers</x:v>
      </x:c>
      <x:c r="B13" s="43" t="n">
        <x:f>COUNTIFS(Annotations!$I:$I,"Benchmark",Annotations!$P:$P,"Yes")</x:f>
        <x:v>2</x:v>
      </x:c>
    </x:row>
    <x:row r="14">
      <x:c r="A14" s="35" t="str">
        <x:v>Method papers with real-robot evaluation</x:v>
      </x:c>
      <x:c r="B14" s="43" t="n">
        <x:f>COUNTIFS(Annotations!$I:$I,"Method",Annotations!$AQ:$AQ,"Yes")</x:f>
        <x:v>29</x:v>
      </x:c>
    </x:row>
    <x:row r="15">
      <x:c r="A15" s="35" t="str">
        <x:v>High-confidence rows</x:v>
      </x:c>
      <x:c r="B15" s="43" t="n">
        <x:f>COUNTIF(Annotations!$AY:$AY,"High")</x:f>
        <x:v>63</x:v>
      </x:c>
    </x:row>
    <x:row r="18">
      <x:c r="A18" s="48" t="str">
        <x:v>Year</x:v>
      </x:c>
      <x:c r="B18" s="48" t="str">
        <x:v>Methods</x:v>
      </x:c>
      <x:c r="C18" s="48" t="str">
        <x:v>Surveys</x:v>
      </x:c>
      <x:c r="D18" s="48" t="str">
        <x:v>Benchmarks</x:v>
      </x:c>
      <x:c r="E18" s="48" t="str">
        <x:v>Datasets</x:v>
      </x:c>
    </x:row>
    <x:row r="19">
      <x:c r="A19" s="57" t="n">
        <x:v>2014</x:v>
      </x:c>
      <x:c r="B19" s="57" t="n">
        <x:f>COUNTIFS(Annotations!$E:$E,A19,Annotations!$I:$I,"Method")</x:f>
        <x:v>1</x:v>
      </x:c>
      <x:c r="C19" s="57" t="n">
        <x:f>COUNTIFS(Annotations!$E:$E,A19,Annotations!$I:$I,"Survey")</x:f>
        <x:v>0</x:v>
      </x:c>
      <x:c r="D19" s="57" t="n">
        <x:f>COUNTIFS(Annotations!$E:$E,A19,Annotations!$I:$I,"Benchmark")</x:f>
        <x:v>0</x:v>
      </x:c>
      <x:c r="E19" s="57" t="n">
        <x:f>COUNTIFS(Annotations!$E:$E,A19,Annotations!$I:$I,"Dataset")</x:f>
        <x:v>0</x:v>
      </x:c>
    </x:row>
    <x:row r="20">
      <x:c r="A20" s="57" t="n">
        <x:v>2019</x:v>
      </x:c>
      <x:c r="B20" s="57" t="n">
        <x:f>COUNTIFS(Annotations!$E:$E,A20,Annotations!$I:$I,"Method")</x:f>
        <x:v>0</x:v>
      </x:c>
      <x:c r="C20" s="57" t="n">
        <x:f>COUNTIFS(Annotations!$E:$E,A20,Annotations!$I:$I,"Survey")</x:f>
        <x:v>0</x:v>
      </x:c>
      <x:c r="D20" s="57" t="n">
        <x:f>COUNTIFS(Annotations!$E:$E,A20,Annotations!$I:$I,"Benchmark")</x:f>
        <x:v>1</x:v>
      </x:c>
      <x:c r="E20" s="57" t="n">
        <x:f>COUNTIFS(Annotations!$E:$E,A20,Annotations!$I:$I,"Dataset")</x:f>
        <x:v>0</x:v>
      </x:c>
    </x:row>
    <x:row r="21">
      <x:c r="A21" s="57" t="n">
        <x:v>2021</x:v>
      </x:c>
      <x:c r="B21" s="57" t="n">
        <x:f>COUNTIFS(Annotations!$E:$E,A21,Annotations!$I:$I,"Method")</x:f>
        <x:v>3</x:v>
      </x:c>
      <x:c r="C21" s="57" t="n">
        <x:f>COUNTIFS(Annotations!$E:$E,A21,Annotations!$I:$I,"Survey")</x:f>
        <x:v>2</x:v>
      </x:c>
      <x:c r="D21" s="57" t="n">
        <x:f>COUNTIFS(Annotations!$E:$E,A21,Annotations!$I:$I,"Benchmark")</x:f>
        <x:v>0</x:v>
      </x:c>
      <x:c r="E21" s="57" t="n">
        <x:f>COUNTIFS(Annotations!$E:$E,A21,Annotations!$I:$I,"Dataset")</x:f>
        <x:v>0</x:v>
      </x:c>
    </x:row>
    <x:row r="22">
      <x:c r="A22" s="57" t="n">
        <x:v>2022</x:v>
      </x:c>
      <x:c r="B22" s="57" t="n">
        <x:f>COUNTIFS(Annotations!$E:$E,A22,Annotations!$I:$I,"Method")</x:f>
        <x:v>6</x:v>
      </x:c>
      <x:c r="C22" s="57" t="n">
        <x:f>COUNTIFS(Annotations!$E:$E,A22,Annotations!$I:$I,"Survey")</x:f>
        <x:v>3</x:v>
      </x:c>
      <x:c r="D22" s="57" t="n">
        <x:f>COUNTIFS(Annotations!$E:$E,A22,Annotations!$I:$I,"Benchmark")</x:f>
        <x:v>0</x:v>
      </x:c>
      <x:c r="E22" s="57" t="n">
        <x:f>COUNTIFS(Annotations!$E:$E,A22,Annotations!$I:$I,"Dataset")</x:f>
        <x:v>0</x:v>
      </x:c>
    </x:row>
    <x:row r="23">
      <x:c r="A23" s="57" t="n">
        <x:v>2023</x:v>
      </x:c>
      <x:c r="B23" s="57" t="n">
        <x:f>COUNTIFS(Annotations!$E:$E,A23,Annotations!$I:$I,"Method")</x:f>
        <x:v>9</x:v>
      </x:c>
      <x:c r="C23" s="57" t="n">
        <x:f>COUNTIFS(Annotations!$E:$E,A23,Annotations!$I:$I,"Survey")</x:f>
        <x:v>3</x:v>
      </x:c>
      <x:c r="D23" s="57" t="n">
        <x:f>COUNTIFS(Annotations!$E:$E,A23,Annotations!$I:$I,"Benchmark")</x:f>
        <x:v>1</x:v>
      </x:c>
      <x:c r="E23" s="57" t="n">
        <x:f>COUNTIFS(Annotations!$E:$E,A23,Annotations!$I:$I,"Dataset")</x:f>
        <x:v>1</x:v>
      </x:c>
    </x:row>
    <x:row r="24">
      <x:c r="A24" s="57" t="n">
        <x:v>2024</x:v>
      </x:c>
      <x:c r="B24" s="57" t="n">
        <x:f>COUNTIFS(Annotations!$E:$E,A24,Annotations!$I:$I,"Method")</x:f>
        <x:v>6</x:v>
      </x:c>
      <x:c r="C24" s="57" t="n">
        <x:f>COUNTIFS(Annotations!$E:$E,A24,Annotations!$I:$I,"Survey")</x:f>
        <x:v>7</x:v>
      </x:c>
      <x:c r="D24" s="57" t="n">
        <x:f>COUNTIFS(Annotations!$E:$E,A24,Annotations!$I:$I,"Benchmark")</x:f>
        <x:v>0</x:v>
      </x:c>
      <x:c r="E24" s="57" t="n">
        <x:f>COUNTIFS(Annotations!$E:$E,A24,Annotations!$I:$I,"Dataset")</x:f>
        <x:v>0</x:v>
      </x:c>
    </x:row>
    <x:row r="25">
      <x:c r="A25" s="57" t="n">
        <x:v>2025</x:v>
      </x:c>
      <x:c r="B25" s="57" t="n">
        <x:f>COUNTIFS(Annotations!$E:$E,A25,Annotations!$I:$I,"Method")</x:f>
        <x:v>6</x:v>
      </x:c>
      <x:c r="C25" s="57" t="n">
        <x:f>COUNTIFS(Annotations!$E:$E,A25,Annotations!$I:$I,"Survey")</x:f>
        <x:v>2</x:v>
      </x:c>
      <x:c r="D25" s="57" t="n">
        <x:f>COUNTIFS(Annotations!$E:$E,A25,Annotations!$I:$I,"Benchmark")</x:f>
        <x:v>0</x:v>
      </x:c>
      <x:c r="E25" s="57" t="n">
        <x:f>COUNTIFS(Annotations!$E:$E,A25,Annotations!$I:$I,"Dataset")</x:f>
        <x:v>0</x:v>
      </x:c>
    </x:row>
    <x:row r="26">
      <x:c r="A26" s="57" t="n">
        <x:v>2026</x:v>
      </x:c>
      <x:c r="B26" s="57" t="n">
        <x:f>COUNTIFS(Annotations!$E:$E,A26,Annotations!$I:$I,"Method")</x:f>
        <x:v>11</x:v>
      </x:c>
      <x:c r="C26" s="57" t="n">
        <x:f>COUNTIFS(Annotations!$E:$E,A26,Annotations!$I:$I,"Survey")</x:f>
        <x:v>1</x:v>
      </x:c>
      <x:c r="D26" s="57" t="n">
        <x:f>COUNTIFS(Annotations!$E:$E,A26,Annotations!$I:$I,"Benchmark")</x:f>
        <x:v>0</x:v>
      </x:c>
      <x:c r="E26" s="57" t="n">
        <x:f>COUNTIFS(Annotations!$E:$E,A26,Annotations!$I:$I,"Dataset")</x:f>
        <x:v>0</x:v>
      </x:c>
    </x:row>
    <x:row r="29">
      <x:c r="A29" s="48" t="str">
        <x:v>World-model status</x:v>
      </x:c>
      <x:c r="B29" s="48" t="str">
        <x:v>Method count</x:v>
      </x:c>
      <x:c r="C29" s="48" t="str">
        <x:v>Interpretation</x:v>
      </x:c>
    </x:row>
    <x:row r="30">
      <x:c r="A30" s="13" t="str">
        <x:v>Yes</x:v>
      </x:c>
      <x:c r="B30" s="13" t="n">
        <x:f>COUNTIFS(Annotations!$I:$I,"Method",Annotations!$S:$S,A30)</x:f>
        <x:v>23</x:v>
      </x:c>
      <x:c r="C30" s="13" t="str">
        <x:v>Strict predictive environment model</x:v>
      </x:c>
    </x:row>
    <x:row r="31">
      <x:c r="A31" s="13" t="str">
        <x:v>Ambiguous</x:v>
      </x:c>
      <x:c r="B31" s="13" t="n">
        <x:f>COUNTIFS(Annotations!$I:$I,"Method",Annotations!$S:$S,A31)</x:f>
        <x:v>1</x:v>
      </x:c>
      <x:c r="C31" s="13" t="str">
        <x:v>World-model terminology without explicit environment prediction</x:v>
      </x:c>
    </x:row>
    <x:row r="32">
      <x:c r="A32" s="13" t="str">
        <x:v>No</x:v>
      </x:c>
      <x:c r="B32" s="13" t="n">
        <x:f>COUNTIFS(Annotations!$I:$I,"Method",Annotations!$S:$S,A32)</x:f>
        <x:v>18</x:v>
      </x:c>
      <x:c r="C32" s="13" t="str">
        <x:v>No learned downstream predictive environment model</x:v>
      </x:c>
    </x:row>
  </x:sheetData>
  <x:mergeCells>
    <x:mergeCell ref="A1:I2"/>
    <x:mergeCell ref="D4:H4"/>
    <x:mergeCell ref="D5:H12"/>
  </x:mergeCells>
  <x:pageMargins left="0.7" right="0.7" top="0.75" bottom="0.75" header="0.3" footer="0.3"/>
  <x:drawing xmlns:r="http://schemas.openxmlformats.org/officeDocument/2006/relationships" r:id="R2ce9be21241749d0"/>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34" hidden="0" customWidth="1"/>
    <x:col min="4" max="4" width="28" hidden="0" customWidth="1"/>
    <x:col min="5" max="5" width="18" hidden="0" customWidth="1"/>
    <x:col min="6" max="6" width="2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34"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34"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34"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28" hidden="0" customWidth="1"/>
    <x:col min="38" max="38" width="28" hidden="0" customWidth="1"/>
    <x:col min="39" max="39" width="18" hidden="0" customWidth="1"/>
    <x:col min="40" max="40" width="28" hidden="0" customWidth="1"/>
    <x:col min="41" max="41" width="28" hidden="0" customWidth="1"/>
    <x:col min="42" max="42" width="18" hidden="0" customWidth="1"/>
    <x:col min="43" max="43" width="18" hidden="0" customWidth="1"/>
    <x:col min="44" max="44" width="34" hidden="0" customWidth="1"/>
    <x:col min="45" max="45" width="34" hidden="0" customWidth="1"/>
    <x:col min="46" max="46" width="34" hidden="0" customWidth="1"/>
    <x:col min="47" max="47" width="34" hidden="0" customWidth="1"/>
    <x:col min="48" max="48" width="34" hidden="0" customWidth="1"/>
    <x:col min="49" max="49" width="34" hidden="0" customWidth="1"/>
    <x:col min="50" max="50" width="34" hidden="0" customWidth="1"/>
    <x:col min="51" max="51" width="18" hidden="0" customWidth="1"/>
    <x:col min="52" max="52" width="34" hidden="0" customWidth="1"/>
    <x:col min="53" max="53" width="28" hidden="0" customWidth="1"/>
  </x:cols>
  <x:sheetData>
    <x:row r="1">
      <x:c r="A1" s="6" t="str">
        <x:v>batch_id</x:v>
      </x:c>
      <x:c r="B1" s="6" t="str">
        <x:v>paper_id</x:v>
      </x:c>
      <x:c r="C1" s="6" t="str">
        <x:v>title</x:v>
      </x:c>
      <x:c r="D1" s="6" t="str">
        <x:v>authors</x:v>
      </x:c>
      <x:c r="E1" s="6" t="str">
        <x:v>year</x:v>
      </x:c>
      <x:c r="F1" s="6" t="str">
        <x:v>year_basis</x:v>
      </x:c>
      <x:c r="G1" s="6" t="str">
        <x:v>venue</x:v>
      </x:c>
      <x:c r="H1" s="6" t="str">
        <x:v>publication_status</x:v>
      </x:c>
      <x:c r="I1" s="6" t="str">
        <x:v>paper_type</x:v>
      </x:c>
      <x:c r="J1" s="6" t="str">
        <x:v>citation_count</x:v>
      </x:c>
      <x:c r="K1" s="6" t="str">
        <x:v>doi_or_identifier</x:v>
      </x:c>
      <x:c r="L1" s="6" t="str">
        <x:v>open_source</x:v>
      </x:c>
      <x:c r="M1" s="6" t="str">
        <x:v>open_source_notes</x:v>
      </x:c>
      <x:c r="N1" s="6" t="str">
        <x:v>task_domain</x:v>
      </x:c>
      <x:c r="O1" s="6" t="str">
        <x:v>primary_problem</x:v>
      </x:c>
      <x:c r="P1" s="6" t="str">
        <x:v>long_horizon</x:v>
      </x:c>
      <x:c r="Q1" s="6" t="str">
        <x:v>language_conditioned</x:v>
      </x:c>
      <x:c r="R1" s="6" t="str">
        <x:v>human_robot_interaction</x:v>
      </x:c>
      <x:c r="S1" s="6" t="str">
        <x:v>uses_world_model</x:v>
      </x:c>
      <x:c r="T1" s="6" t="str">
        <x:v>world_model_family</x:v>
      </x:c>
      <x:c r="U1" s="6" t="str">
        <x:v>world_model_detail</x:v>
      </x:c>
      <x:c r="V1" s="6" t="str">
        <x:v>predictive_space</x:v>
      </x:c>
      <x:c r="W1" s="6" t="str">
        <x:v>prediction_target</x:v>
      </x:c>
      <x:c r="X1" s="6" t="str">
        <x:v>action_conditioned</x:v>
      </x:c>
      <x:c r="Y1" s="6" t="str">
        <x:v>video_prediction</x:v>
      </x:c>
      <x:c r="Z1" s="6" t="str">
        <x:v>uses_planning</x:v>
      </x:c>
      <x:c r="AA1" s="6" t="str">
        <x:v>planning_method</x:v>
      </x:c>
      <x:c r="AB1" s="6" t="str">
        <x:v>planning_representation</x:v>
      </x:c>
      <x:c r="AC1" s="6" t="str">
        <x:v>planning_horizon</x:v>
      </x:c>
      <x:c r="AD1" s="6" t="str">
        <x:v>horizon_basis</x:v>
      </x:c>
      <x:c r="AE1" s="6" t="str">
        <x:v>hierarchical_planning</x:v>
      </x:c>
      <x:c r="AF1" s="6" t="str">
        <x:v>replanning_online</x:v>
      </x:c>
      <x:c r="AG1" s="6" t="str">
        <x:v>planning_role</x:v>
      </x:c>
      <x:c r="AH1" s="6" t="str">
        <x:v>learning_type</x:v>
      </x:c>
      <x:c r="AI1" s="6" t="str">
        <x:v>policy_type</x:v>
      </x:c>
      <x:c r="AJ1" s="6" t="str">
        <x:v>pretraining</x:v>
      </x:c>
      <x:c r="AK1" s="6" t="str">
        <x:v>observation_modality</x:v>
      </x:c>
      <x:c r="AL1" s="6" t="str">
        <x:v>goal_representation</x:v>
      </x:c>
      <x:c r="AM1" s="6" t="str">
        <x:v>action_space</x:v>
      </x:c>
      <x:c r="AN1" s="6" t="str">
        <x:v>benchmark</x:v>
      </x:c>
      <x:c r="AO1" s="6" t="str">
        <x:v>robot_platform</x:v>
      </x:c>
      <x:c r="AP1" s="6" t="str">
        <x:v>simulation</x:v>
      </x:c>
      <x:c r="AQ1" s="6" t="str">
        <x:v>real_robot</x:v>
      </x:c>
      <x:c r="AR1" s="6" t="str">
        <x:v>main_contribution</x:v>
      </x:c>
      <x:c r="AS1" s="6" t="str">
        <x:v>novelty</x:v>
      </x:c>
      <x:c r="AT1" s="6" t="str">
        <x:v>limitations</x:v>
      </x:c>
      <x:c r="AU1" s="6" t="str">
        <x:v>future_work</x:v>
      </x:c>
      <x:c r="AV1" s="6" t="str">
        <x:v>evidence_world_model</x:v>
      </x:c>
      <x:c r="AW1" s="6" t="str">
        <x:v>evidence_planning</x:v>
      </x:c>
      <x:c r="AX1" s="6" t="str">
        <x:v>evidence_horizon</x:v>
      </x:c>
      <x:c r="AY1" s="6" t="str">
        <x:v>confidence</x:v>
      </x:c>
      <x:c r="AZ1" s="6" t="str">
        <x:v>review_flags</x:v>
      </x:c>
      <x:c r="BA1" s="6" t="str">
        <x:v>source_document</x:v>
      </x:c>
    </x:row>
    <x:row r="2">
      <x:c r="A2" s="13" t="str">
        <x:v>batch_01</x:v>
      </x:c>
      <x:c r="B2" s="13" t="str">
        <x:v>B01-001</x:v>
      </x:c>
      <x:c r="C2" s="13" t="str">
        <x:v>AdaPower: Specializing World Foundation Models for Predictive Manipulation</x:v>
      </x:c>
      <x:c r="D2" s="13" t="str">
        <x:v>Yuhang Huang; Shilong Zou; Jiazhao Zhang; Xinwang Liu; Ruizhen Hu; Kai Xu</x:v>
      </x:c>
      <x:c r="E2" s="13" t="n">
        <x:v>2025</x:v>
      </x:c>
      <x:c r="F2" s="13" t="str">
        <x:v>First public appearance: arXiv v1, 3 Dec 2025</x:v>
      </x:c>
      <x:c r="G2" s="13" t="str">
        <x:v>arXiv</x:v>
      </x:c>
      <x:c r="H2" s="13" t="str">
        <x:v>Preprint</x:v>
      </x:c>
      <x:c r="I2" s="13" t="str">
        <x:v>Method</x:v>
      </x:c>
      <x:c r="J2" s="13" t="str"/>
      <x:c r="K2" s="13" t="str">
        <x:v>arXiv:2512.03538</x:v>
      </x:c>
      <x:c r="L2" s="13" t="str">
        <x:v>Unknown</x:v>
      </x:c>
      <x:c r="M2" s="13" t="str">
        <x:v>No code repository or released weights were identified in the supplied paper text.</x:v>
      </x:c>
      <x:c r="N2" s="13" t="str">
        <x:v>Manipulation</x:v>
      </x:c>
      <x:c r="O2" s="13" t="str">
        <x:v>World Modeling; Planning; Test-Time Adaptation</x:v>
      </x:c>
      <x:c r="P2" s="13" t="str">
        <x:v>Yes</x:v>
      </x:c>
      <x:c r="Q2" s="13" t="str">
        <x:v>Yes</x:v>
      </x:c>
      <x:c r="R2" s="13" t="str">
        <x:v>No</x:v>
      </x:c>
      <x:c r="S2" s="13" t="str">
        <x:v>Yes</x:v>
      </x:c>
      <x:c r="T2" s="13" t="str">
        <x:v>Diffusion</x:v>
      </x:c>
      <x:c r="U2" s="13" t="str">
        <x:v>Cosmos-Predict2-2B Diffusion Transformer adapted with TS-TTT, Memory Persistence, and an action encoder</x:v>
      </x:c>
      <x:c r="V2" s="13" t="str">
        <x:v>Pixel / Observation</x:v>
      </x:c>
      <x:c r="W2" s="13" t="str">
        <x:v>Multi-step future video / observation trajectory</x:v>
      </x:c>
      <x:c r="X2" s="13" t="str">
        <x:v>Yes</x:v>
      </x:c>
      <x:c r="Y2" s="13" t="str">
        <x:v>Yes</x:v>
      </x:c>
      <x:c r="Z2" s="13" t="str">
        <x:v>Yes</x:v>
      </x:c>
      <x:c r="AA2" s="13" t="str">
        <x:v>MPC</x:v>
      </x:c>
      <x:c r="AB2" s="13" t="str">
        <x:v>Observation-level imagined trajectories plus candidate action sequences</x:v>
      </x:c>
      <x:c r="AC2" s="13" t="str">
        <x:v>Long</x:v>
      </x:c>
      <x:c r="AD2" s="13" t="str">
        <x:v>Evaluates extended rollouts on unseen LIBERO-LONG tasks; an exact numeric MPC horizon was not identified.</x:v>
      </x:c>
      <x:c r="AE2" s="13" t="str">
        <x:v>No</x:v>
      </x:c>
      <x:c r="AF2" s="13" t="str">
        <x:v>Yes</x:v>
      </x:c>
      <x:c r="AG2" s="13" t="str">
        <x:v>Full End-to-End Planner</x:v>
      </x:c>
      <x:c r="AH2" s="13" t="str">
        <x:v>Foundation Model Adaptation; Self-supervised Test-Time Training</x:v>
      </x:c>
      <x:c r="AI2" s="13" t="str">
        <x:v>VLA</x:v>
      </x:c>
      <x:c r="AJ2" s="13" t="str">
        <x:v>Yes</x:v>
      </x:c>
      <x:c r="AK2" s="13" t="str">
        <x:v>RGB video; action history</x:v>
      </x:c>
      <x:c r="AL2" s="13" t="str">
        <x:v>Language instruction</x:v>
      </x:c>
      <x:c r="AM2" s="13" t="str">
        <x:v>Continuous</x:v>
      </x:c>
      <x:c r="AN2" s="13" t="str">
        <x:v>LIBERO-90; LIBERO-LONG / 10 unseen LIBERO tasks; custom real-world tasks</x:v>
      </x:c>
      <x:c r="AO2" s="13" t="str">
        <x:v>Franka Research 3</x:v>
      </x:c>
      <x:c r="AP2" s="13" t="str">
        <x:v>Yes</x:v>
      </x:c>
      <x:c r="AQ2" s="13" t="str">
        <x:v>Yes</x:v>
      </x:c>
      <x:c r="AR2" s="13" t="str">
        <x:v>Adapts a general video world foundation model into a control-oriented specialist model that evaluates VLA-proposed action sequences inside MPC.</x:v>
      </x:c>
      <x:c r="AS2" s="13" t="str">
        <x:v>Combines temporal-spatial test-time training with persistent cross-attention memory while keeping the pretrained WFM frozen.</x:v>
      </x:c>
      <x:c r="AT2" s="13" t="str">
        <x:v>Introduces moderate test-time overhead; broader domain transfer and real-time efficiency remain unresolved.</x:v>
      </x:c>
      <x:c r="AU2" s="13" t="str">
        <x:v>Improve domain-transfer robustness, real-time efficiency, and deployment in broader intelligent systems.</x:v>
      </x:c>
      <x:c r="AV2" s="13" t="str">
        <x:v>The paper replaces the WFM text encoder with an action encoder and uses the adapted model to generate action-conditioned future video rollouts.</x:v>
      </x:c>
      <x:c r="AW2" s="13" t="str">
        <x:v>A VLA proposes candidate action sequences; the specialist world model rolls them out and a reward model selects the sequence executed by MPC.</x:v>
      </x:c>
      <x:c r="AX2" s="13" t="str">
        <x:v>Memory Persistence is designed to reduce error accumulation, and evaluation includes long-horizon rollouts on LIBERO-LONG.</x:v>
      </x:c>
      <x:c r="AY2" s="13" t="str">
        <x:v>High</x:v>
      </x:c>
      <x:c r="AZ2" s="13" t="str">
        <x:v>Planning horizon is qualitative rather than numerically reported; open-source status requires external verification.</x:v>
      </x:c>
      <x:c r="BA2" s="13" t="str">
        <x:v>AdaPower_ Specializing World Foundation Models for Predictive Manipulation.txt</x:v>
      </x:c>
    </x:row>
    <x:row r="3">
      <x:c r="A3" s="13" t="str">
        <x:v>batch_01</x:v>
      </x:c>
      <x:c r="B3" s="13" t="str">
        <x:v>B01-002</x:v>
      </x:c>
      <x:c r="C3" s="13" t="str">
        <x:v>AdaWorldPolicy: World-Model-Driven Diffusion Policy with Online Adaptive Learning for Robotic Manipulation</x:v>
      </x:c>
      <x:c r="D3" s="13" t="str">
        <x:v>Ge Yuan; Qiyuan Qiao; Jing Zhang; Dong Xu</x:v>
      </x:c>
      <x:c r="E3" s="13" t="n">
        <x:v>2026</x:v>
      </x:c>
      <x:c r="F3" s="13" t="str">
        <x:v>First public appearance: arXiv v1, 23 Feb 2026</x:v>
      </x:c>
      <x:c r="G3" s="13" t="str">
        <x:v>arXiv</x:v>
      </x:c>
      <x:c r="H3" s="13" t="str">
        <x:v>Preprint</x:v>
      </x:c>
      <x:c r="I3" s="13" t="str">
        <x:v>Method</x:v>
      </x:c>
      <x:c r="J3" s="13" t="str"/>
      <x:c r="K3" s="13" t="str">
        <x:v>arXiv:2602.20057</x:v>
      </x:c>
      <x:c r="L3" s="13" t="str">
        <x:v>Unknown</x:v>
      </x:c>
      <x:c r="M3" s="13" t="str">
        <x:v>A project homepage is provided, but a code or weights release was not established from the supplied text.</x:v>
      </x:c>
      <x:c r="N3" s="13" t="str">
        <x:v>Manipulation</x:v>
      </x:c>
      <x:c r="O3" s="13" t="str">
        <x:v>Policy Learning; World Modeling; Online Adaptation</x:v>
      </x:c>
      <x:c r="P3" s="13" t="str">
        <x:v>Yes</x:v>
      </x:c>
      <x:c r="Q3" s="13" t="str">
        <x:v>Yes</x:v>
      </x:c>
      <x:c r="R3" s="13" t="str">
        <x:v>No</x:v>
      </x:c>
      <x:c r="S3" s="13" t="str">
        <x:v>Yes</x:v>
      </x:c>
      <x:c r="T3" s="13" t="str">
        <x:v>Diffusion</x:v>
      </x:c>
      <x:c r="U3" s="13" t="str">
        <x:v>Cosmos-Predict2-based world model connected to 0.4B DiT action and force experts through multimodal self-attention</x:v>
      </x:c>
      <x:c r="V3" s="13" t="str">
        <x:v>Pixel / Observation</x:v>
      </x:c>
      <x:c r="W3" s="13" t="str">
        <x:v>Future observation; force feedback; action sequence</x:v>
      </x:c>
      <x:c r="X3" s="13" t="str">
        <x:v>Yes</x:v>
      </x:c>
      <x:c r="Y3" s="13" t="str">
        <x:v>Yes</x:v>
      </x:c>
      <x:c r="Z3" s="13" t="str">
        <x:v>No</x:v>
      </x:c>
      <x:c r="AA3" s="13" t="str">
        <x:v>None — model-informed diffusion policy without explicit MPC, search, or trajectory optimization</x:v>
      </x:c>
      <x:c r="AB3" s="13" t="str">
        <x:v>N/A</x:v>
      </x:c>
      <x:c r="AC3" s="13" t="str">
        <x:v>None</x:v>
      </x:c>
      <x:c r="AD3" s="13" t="str">
        <x:v>The policy generates action chunks of 12–32 actions and is evaluated on long-horizon tasks, but the paper does not implement an explicit planner.</x:v>
      </x:c>
      <x:c r="AE3" s="13" t="str">
        <x:v>No</x:v>
      </x:c>
      <x:c r="AF3" s="13" t="str">
        <x:v>Yes</x:v>
      </x:c>
      <x:c r="AG3" s="13" t="str">
        <x:v>Local Controller</x:v>
      </x:c>
      <x:c r="AH3" s="13" t="str">
        <x:v>Imitation Learning; Self-supervised Online Adaptation; Foundation Model</x:v>
      </x:c>
      <x:c r="AI3" s="13" t="str">
        <x:v>Diffusion Policy</x:v>
      </x:c>
      <x:c r="AJ3" s="13" t="str">
        <x:v>Yes</x:v>
      </x:c>
      <x:c r="AK3" s="13" t="str">
        <x:v>Multimodal: static RGB; gripper RGB; force-torque; state/text conditioning</x:v>
      </x:c>
      <x:c r="AL3" s="13" t="str">
        <x:v>Language / goal conditioning</x:v>
      </x:c>
      <x:c r="AM3" s="13" t="str">
        <x:v>Continuous action chunks</x:v>
      </x:c>
      <x:c r="AN3" s="13" t="str">
        <x:v>LIBERO-10; Variant PushT; CALVIN; custom real-world tasks</x:v>
      </x:c>
      <x:c r="AO3" s="13" t="str">
        <x:v>INOVO robotic arm; benchmark-specific simulated manipulators</x:v>
      </x:c>
      <x:c r="AP3" s="13" t="str">
        <x:v>Yes</x:v>
      </x:c>
      <x:c r="AQ3" s="13" t="str">
        <x:v>Yes</x:v>
      </x:c>
      <x:c r="AR3" s="13" t="str">
        <x:v>Unifies a video world model, diffusion action expert, and force predictor so prediction error can drive lightweight online policy adaptation.</x:v>
      </x:c>
      <x:c r="AS3" s="13" t="str">
        <x:v>Alternates between action generation and future imagination, using world-model and force prediction errors as self-supervised test-time update signals.</x:v>
      </x:c>
      <x:c r="AT3" s="13" t="str">
        <x:v>The large video backbone is compute intensive and can produce blur or artifacts in cluttered scenes; long-horizon planning failures remain.</x:v>
      </x:c>
      <x:c r="AU3" s="13" t="str">
        <x:v>Address long-horizon planning failures and scale the adaptation mechanism to larger architectures.</x:v>
      </x:c>
      <x:c r="AV3" s="13" t="str">
        <x:v>The action-conditioned Cosmos-based module predicts future observations and supplies an online self-supervision signal.</x:v>
      </x:c>
      <x:c r="AW3" s="13" t="str">
        <x:v>No separate planner is described; the DiT action expert directly generates action chunks in closed loop.</x:v>
      </x:c>
      <x:c r="AX3" s="13" t="str">
        <x:v>CALVIN long-sequence evaluation and a long-horizon egg pick-and-place task are reported; action horizons range from 12 to 32.</x:v>
      </x:c>
      <x:c r="AY3" s="13" t="str">
        <x:v>High</x:v>
      </x:c>
      <x:c r="AZ3" s="13" t="str">
        <x:v>Do not count as an explicit planning method in planner-frequency plots; open-source status requires external verification.</x:v>
      </x:c>
      <x:c r="BA3" s="13" t="str">
        <x:v>AdaWorldPolicy_ World-Model-Driven Diffusion Policy with Online Adaptive Learning for Robotic Manipulation.txt</x:v>
      </x:c>
    </x:row>
    <x:row r="4">
      <x:c r="A4" s="13" t="str">
        <x:v>batch_01</x:v>
      </x:c>
      <x:c r="B4" s="13" t="str">
        <x:v>B01-003</x:v>
      </x:c>
      <x:c r="C4" s="13" t="str">
        <x:v>A knowledge-based task planning approach for robot multi-task manipulation</x:v>
      </x:c>
      <x:c r="D4" s="13" t="str">
        <x:v>Deshuai Zheng; Jin Yan; Tao Xue; Yong Liu</x:v>
      </x:c>
      <x:c r="E4" s="13" t="n">
        <x:v>2023</x:v>
      </x:c>
      <x:c r="F4" s="13" t="str">
        <x:v>First public appearance: published online 18 Jul 2023; journal volume is dated 2024</x:v>
      </x:c>
      <x:c r="G4" s="13" t="str">
        <x:v>Complex &amp; Intelligent Systems</x:v>
      </x:c>
      <x:c r="H4" s="13" t="str">
        <x:v>Peer-reviewed journal article</x:v>
      </x:c>
      <x:c r="I4" s="13" t="str">
        <x:v>Method</x:v>
      </x:c>
      <x:c r="J4" s="13" t="str"/>
      <x:c r="K4" s="13" t="str">
        <x:v>10.1007/s40747-023-01155-8</x:v>
      </x:c>
      <x:c r="L4" s="13" t="str">
        <x:v>Unknown</x:v>
      </x:c>
      <x:c r="M4" s="13" t="str">
        <x:v>The article is open access under CC BY 4.0; a code release was not identified in the supplied text.</x:v>
      </x:c>
      <x:c r="N4" s="13" t="str">
        <x:v>Manipulation</x:v>
      </x:c>
      <x:c r="O4" s="13" t="str">
        <x:v>Planning</x:v>
      </x:c>
      <x:c r="P4" s="13" t="str">
        <x:v>No / Unclear</x:v>
      </x:c>
      <x:c r="Q4" s="13" t="str">
        <x:v>Yes</x:v>
      </x:c>
      <x:c r="R4" s="13" t="str">
        <x:v>No</x:v>
      </x:c>
      <x:c r="S4" s="13" t="str">
        <x:v>No</x:v>
      </x:c>
      <x:c r="T4" s="13" t="str">
        <x:v>None</x:v>
      </x:c>
      <x:c r="U4" s="13" t="str">
        <x:v>N/A</x:v>
      </x:c>
      <x:c r="V4" s="13" t="str">
        <x:v>N/A</x:v>
      </x:c>
      <x:c r="W4" s="13" t="str">
        <x:v>N/A</x:v>
      </x:c>
      <x:c r="X4" s="13" t="str">
        <x:v>N/A</x:v>
      </x:c>
      <x:c r="Y4" s="13" t="str">
        <x:v>No</x:v>
      </x:c>
      <x:c r="Z4" s="13" t="str">
        <x:v>Yes</x:v>
      </x:c>
      <x:c r="AA4" s="13" t="str">
        <x:v>Hierarchical knowledge-graph task planning</x:v>
      </x:c>
      <x:c r="AB4" s="13" t="str">
        <x:v>Symbolic</x:v>
      </x:c>
      <x:c r="AC4" s="13" t="str">
        <x:v>Short</x:v>
      </x:c>
      <x:c r="AD4" s="13" t="str">
        <x:v>The planner produces short sequences of reusable primitive tasks until a stop token; no extended-horizon evaluation is reported.</x:v>
      </x:c>
      <x:c r="AE4" s="13" t="str">
        <x:v>Yes</x:v>
      </x:c>
      <x:c r="AF4" s="13" t="str">
        <x:v>No / Unclear</x:v>
      </x:c>
      <x:c r="AG4" s="13" t="str">
        <x:v>High-Level Planner</x:v>
      </x:c>
      <x:c r="AH4" s="13" t="str">
        <x:v>Supervised; Environment-Interactive Learning</x:v>
      </x:c>
      <x:c r="AI4" s="13" t="str">
        <x:v>Skill Policy</x:v>
      </x:c>
      <x:c r="AJ4" s="13" t="str">
        <x:v>Yes — primitive policies</x:v>
      </x:c>
      <x:c r="AK4" s="13" t="str">
        <x:v>Language; knowledge graph</x:v>
      </x:c>
      <x:c r="AL4" s="13" t="str">
        <x:v>Language instruction</x:v>
      </x:c>
      <x:c r="AM4" s="13" t="str">
        <x:v>Hybrid: discrete primitive selection plus continuous primitive-policy execution</x:v>
      </x:c>
      <x:c r="AN4" s="13" t="str">
        <x:v>Custom 422-task language dataset; Meta-World 20-task subset</x:v>
      </x:c>
      <x:c r="AO4" s="13" t="str">
        <x:v>Simulation-only Meta-World manipulator; specific arm not stated in the extracted evidence</x:v>
      </x:c>
      <x:c r="AP4" s="13" t="str">
        <x:v>Yes</x:v>
      </x:c>
      <x:c r="AQ4" s="13" t="str">
        <x:v>No</x:v>
      </x:c>
      <x:c r="AR4" s="13" t="str">
        <x:v>Uses an RGCN combining GCN and LSTM to convert language-conditioned task decomposition into sequential graph-edge prediction.</x:v>
      </x:c>
      <x:c r="AS4" s="13" t="str">
        <x:v>Injects object-task-skill relations from a semantic knowledge graph and supports learning unseen task types through environment interaction.</x:v>
      </x:c>
      <x:c r="AT4" s="13" t="str">
        <x:v>Language-only planning can produce fixed decompositions that ignore object-specific variations, and transitions between adjacent primitive policies are not optimized.</x:v>
      </x:c>
      <x:c r="AU4" s="13" t="str">
        <x:v>Add visual features for unseen-object generalization and develop better conjunction strategies between primitive policies.</x:v>
      </x:c>
      <x:c r="AV4" s="13" t="str">
        <x:v>The system models semantic task and object relations rather than predicting environmental dynamics, so it is not classified as a world model.</x:v>
      </x:c>
      <x:c r="AW4" s="13" t="str">
        <x:v>The RGCN predicts primitive tasks sequentially from an activated knowledge graph until it emits stop.</x:v>
      </x:c>
      <x:c r="AX4" s="13" t="str">
        <x:v>Examples and evaluation focus on compact primitive sequences; the paper does not claim long-horizon planning.</x:v>
      </x:c>
      <x:c r="AY4" s="13" t="str">
        <x:v>High</x:v>
      </x:c>
      <x:c r="AZ4" s="13" t="str">
        <x:v>The short-horizon label is an inference from reported primitive sequences; code-release status is unverified.</x:v>
      </x:c>
      <x:c r="BA4" s="13" t="str">
        <x:v>A knowledge-based task planning approach for robot multi-task manipulation.txt</x:v>
      </x:c>
    </x:row>
    <x:row r="5">
      <x:c r="A5" s="13" t="str">
        <x:v>batch_01</x:v>
      </x:c>
      <x:c r="B5" s="13" t="str">
        <x:v>B01-004</x:v>
      </x:c>
      <x:c r="C5" s="13" t="str">
        <x:v>Aligning Cyber Space with Physical World: A Comprehensive Survey on Embodied AI</x:v>
      </x:c>
      <x:c r="D5" s="13" t="str">
        <x:v>Yang Liu; Weixing Chen; Yongjie Bai; Xiaodan Liang; Guanbin Li; Wen Gao; Liang Lin</x:v>
      </x:c>
      <x:c r="E5" s="13" t="n">
        <x:v>2024</x:v>
      </x:c>
      <x:c r="F5" s="13" t="str">
        <x:v>First public appearance: arXiv:2407.06886; supplied file is a later 2025 revision</x:v>
      </x:c>
      <x:c r="G5" s="13" t="str">
        <x:v>IEEE/ASME Transactions on Mechatronics</x:v>
      </x:c>
      <x:c r="H5" s="13" t="str">
        <x:v>Survey article / author manuscript</x:v>
      </x:c>
      <x:c r="I5" s="13" t="str">
        <x:v>Survey</x:v>
      </x:c>
      <x:c r="J5" s="13" t="str"/>
      <x:c r="K5" s="13" t="str">
        <x:v>arXiv:2407.06886</x:v>
      </x:c>
      <x:c r="L5" s="13" t="str">
        <x:v>Yes</x:v>
      </x:c>
      <x:c r="M5" s="13" t="str">
        <x:v>The paper links a companion GitHub paper list and describes the ARIO data standard and dataset.</x:v>
      </x:c>
      <x:c r="N5" s="13" t="str">
        <x:v>General Robotics; Embodied AI</x:v>
      </x:c>
      <x:c r="O5" s="13" t="str">
        <x:v>Survey; Embodied AI; World Modeling</x:v>
      </x:c>
      <x:c r="P5" s="13" t="str">
        <x:v>N/A — survey identifies it as a major challenge</x:v>
      </x:c>
      <x:c r="Q5" s="13" t="str">
        <x:v>N/A — survey covers language-conditioned systems</x:v>
      </x:c>
      <x:c r="R5" s="13" t="str">
        <x:v>N/A — survey covers HRI</x:v>
      </x:c>
      <x:c r="S5" s="13" t="str">
        <x:v>N/A — survey covers world models</x:v>
      </x:c>
      <x:c r="T5" s="13" t="str">
        <x:v>N/A — multiple families reviewed</x:v>
      </x:c>
      <x:c r="U5" s="13" t="str">
        <x:v>Covers multimodal large models, embodied world models, agents, and sim-to-real methods</x:v>
      </x:c>
      <x:c r="V5" s="13" t="str">
        <x:v>N/A</x:v>
      </x:c>
      <x:c r="W5" s="13" t="str">
        <x:v>N/A</x:v>
      </x:c>
      <x:c r="X5" s="13" t="str">
        <x:v>N/A</x:v>
      </x:c>
      <x:c r="Y5" s="13" t="str">
        <x:v>N/A</x:v>
      </x:c>
      <x:c r="Z5" s="13" t="str">
        <x:v>N/A — multiple planning paradigms reviewed</x:v>
      </x:c>
      <x:c r="AA5" s="13" t="str">
        <x:v>N/A</x:v>
      </x:c>
      <x:c r="AB5" s="13" t="str">
        <x:v>N/A</x:v>
      </x:c>
      <x:c r="AC5" s="13" t="str">
        <x:v>N/A</x:v>
      </x:c>
      <x:c r="AD5" s="13" t="str">
        <x:v>The survey treats long-horizon task execution as an open research challenge.</x:v>
      </x:c>
      <x:c r="AE5" s="13" t="str">
        <x:v>N/A</x:v>
      </x:c>
      <x:c r="AF5" s="13" t="str">
        <x:v>N/A</x:v>
      </x:c>
      <x:c r="AG5" s="13" t="str">
        <x:v>N/A</x:v>
      </x:c>
      <x:c r="AH5" s="13" t="str">
        <x:v>N/A</x:v>
      </x:c>
      <x:c r="AI5" s="13" t="str">
        <x:v>N/A</x:v>
      </x:c>
      <x:c r="AJ5" s="13" t="str">
        <x:v>N/A</x:v>
      </x:c>
      <x:c r="AK5" s="13" t="str">
        <x:v>Multiple</x:v>
      </x:c>
      <x:c r="AL5" s="13" t="str">
        <x:v>Multiple</x:v>
      </x:c>
      <x:c r="AM5" s="13" t="str">
        <x:v>Multiple</x:v>
      </x:c>
      <x:c r="AN5" s="13" t="str">
        <x:v>Multiple simulators and datasets; ARIO dataset</x:v>
      </x:c>
      <x:c r="AO5" s="13" t="str">
        <x:v>Multiple</x:v>
      </x:c>
      <x:c r="AP5" s="13" t="str">
        <x:v>Both / Survey</x:v>
      </x:c>
      <x:c r="AQ5" s="13" t="str">
        <x:v>Both / Survey</x:v>
      </x:c>
      <x:c r="AR5" s="13" t="str">
        <x:v>Surveys embodied robots, simulators, perception, interaction, embodied agents, sim-to-real adaptation, datasets, and the roles of MLMs and world models.</x:v>
      </x:c>
      <x:c r="AS5" s="13" t="str">
        <x:v>Frames embodied AI as alignment between cyber and physical spaces and proposes the ARIO unified data standard and dataset.</x:v>
      </x:c>
      <x:c r="AT5" s="13" t="str">
        <x:v>N/A as a single system; the reviewed field remains constrained by scarce real-world data, sim-to-real gaps, weak long-term memory, and limited long-horizon task decomposition.</x:v>
      </x:c>
      <x:c r="AU5" s="13" t="str">
        <x:v>Develop larger real-world datasets, stronger long-horizon planners, better multimodal grounding, sim-to-real transfer, safety, and security.</x:v>
      </x:c>
      <x:c r="AV5" s="13" t="str">
        <x:v>The survey positions embodied world models as internal mechanisms for understanding and connecting virtual and physical environments.</x:v>
      </x:c>
      <x:c r="AW5" s="13" t="str">
        <x:v>Task planning is reviewed as a core embodied-agent capability rather than implemented as one method.</x:v>
      </x:c>
      <x:c r="AX5" s="13" t="str">
        <x:v>The challenges section explicitly identifies long-horizon task execution and sequential low-level action planning as unresolved.</x:v>
      </x:c>
      <x:c r="AY5" s="13" t="str">
        <x:v>High</x:v>
      </x:c>
      <x:c r="AZ5" s="13" t="str">
        <x:v>Exclude from method-only architecture and performance counts; retain for survey-trend and taxonomy analyses.</x:v>
      </x:c>
      <x:c r="BA5" s="13" t="str">
        <x:v>Aligning Cyber Space with Physical World_ A Comprehensive Survey on Embodied AI.txt</x:v>
      </x:c>
    </x:row>
    <x:row r="6">
      <x:c r="A6" s="13" t="str">
        <x:v>batch_01</x:v>
      </x:c>
      <x:c r="B6" s="13" t="str">
        <x:v>B01-005</x:v>
      </x:c>
      <x:c r="C6" s="13" t="str">
        <x:v>A Step Toward World Models: A Survey on Robotic Manipulation</x:v>
      </x:c>
      <x:c r="D6" s="13" t="str">
        <x:v>Peng-Fei Zhang; Ying Cheng; Xiaofan Sun; Shijie Wang; Fengling Li; Lei Zhu; Heng Tao Shen</x:v>
      </x:c>
      <x:c r="E6" s="13" t="n">
        <x:v>2025</x:v>
      </x:c>
      <x:c r="F6" s="13" t="str">
        <x:v>First public appearance: TechRxiv, 20 Nov 2025</x:v>
      </x:c>
      <x:c r="G6" s="13" t="str">
        <x:v>TechRxiv</x:v>
      </x:c>
      <x:c r="H6" s="13" t="str">
        <x:v>Preprint; not peer reviewed</x:v>
      </x:c>
      <x:c r="I6" s="13" t="str">
        <x:v>Survey</x:v>
      </x:c>
      <x:c r="J6" s="13" t="str"/>
      <x:c r="K6" s="13" t="str">
        <x:v>10.36227/techrxiv.176240565.55307163/v2</x:v>
      </x:c>
      <x:c r="L6" s="13" t="str">
        <x:v>Unknown</x:v>
      </x:c>
      <x:c r="M6" s="13" t="str">
        <x:v>The paper is CC BY 4.0, but no companion code or dataset repository was identified in the supplied text.</x:v>
      </x:c>
      <x:c r="N6" s="13" t="str">
        <x:v>Manipulation</x:v>
      </x:c>
      <x:c r="O6" s="13" t="str">
        <x:v>Survey; World Modeling</x:v>
      </x:c>
      <x:c r="P6" s="13" t="str">
        <x:v>N/A — central challenge reviewed</x:v>
      </x:c>
      <x:c r="Q6" s="13" t="str">
        <x:v>N/A — multiple model classes reviewed</x:v>
      </x:c>
      <x:c r="R6" s="13" t="str">
        <x:v>N/A</x:v>
      </x:c>
      <x:c r="S6" s="13" t="str">
        <x:v>N/A — survey defines and reviews world-model paradigms</x:v>
      </x:c>
      <x:c r="T6" s="13" t="str">
        <x:v>N/A — implicit; latent dynamics; video generation; hybrid families reviewed</x:v>
      </x:c>
      <x:c r="U6" s="13" t="str">
        <x:v>Reviews implicit world modeling, latent dynamics, video generation, flat and hierarchical architectures</x:v>
      </x:c>
      <x:c r="V6" s="13" t="str">
        <x:v>N/A</x:v>
      </x:c>
      <x:c r="W6" s="13" t="str">
        <x:v>N/A</x:v>
      </x:c>
      <x:c r="X6" s="13" t="str">
        <x:v>N/A</x:v>
      </x:c>
      <x:c r="Y6" s="13" t="str">
        <x:v>N/A</x:v>
      </x:c>
      <x:c r="Z6" s="13" t="str">
        <x:v>N/A — multiple decision-support methods reviewed</x:v>
      </x:c>
      <x:c r="AA6" s="13" t="str">
        <x:v>N/A</x:v>
      </x:c>
      <x:c r="AB6" s="13" t="str">
        <x:v>N/A</x:v>
      </x:c>
      <x:c r="AC6" s="13" t="str">
        <x:v>N/A</x:v>
      </x:c>
      <x:c r="AD6" s="13" t="str">
        <x:v>Long-horizon reasoning, prediction consistency, and hierarchical decomposition are major review dimensions.</x:v>
      </x:c>
      <x:c r="AE6" s="13" t="str">
        <x:v>N/A</x:v>
      </x:c>
      <x:c r="AF6" s="13" t="str">
        <x:v>N/A</x:v>
      </x:c>
      <x:c r="AG6" s="13" t="str">
        <x:v>N/A</x:v>
      </x:c>
      <x:c r="AH6" s="13" t="str">
        <x:v>N/A</x:v>
      </x:c>
      <x:c r="AI6" s="13" t="str">
        <x:v>N/A</x:v>
      </x:c>
      <x:c r="AJ6" s="13" t="str">
        <x:v>N/A</x:v>
      </x:c>
      <x:c r="AK6" s="13" t="str">
        <x:v>Multiple</x:v>
      </x:c>
      <x:c r="AL6" s="13" t="str">
        <x:v>Multiple</x:v>
      </x:c>
      <x:c r="AM6" s="13" t="str">
        <x:v>Multiple</x:v>
      </x:c>
      <x:c r="AN6" s="13" t="str">
        <x:v>Multiple robotic manipulation datasets and benchmarks</x:v>
      </x:c>
      <x:c r="AO6" s="13" t="str">
        <x:v>Multiple</x:v>
      </x:c>
      <x:c r="AP6" s="13" t="str">
        <x:v>Both / Survey</x:v>
      </x:c>
      <x:c r="AQ6" s="13" t="str">
        <x:v>Both / Survey</x:v>
      </x:c>
      <x:c r="AR6" s="13" t="str">
        <x:v>Develops a problem-centered taxonomy of robotic world models, their representations, architectures, functions, datasets, capabilities, and challenges.</x:v>
      </x:c>
      <x:c r="AS6" s="13" t="str">
        <x:v>Extends world-model scope beyond explicitly named models to include implicit modeling, latent dynamics, and video-generation approaches.</x:v>
      </x:c>
      <x:c r="AT6" s="13" t="str">
        <x:v>The document is an initial, non-peer-reviewed survey version, and the conceptual boundaries of world models remain unsettled.</x:v>
      </x:c>
      <x:c r="AU6" s="13" t="str">
        <x:v>Advance multimodal and hierarchical world models, causal and physical reasoning, memory, long-horizon consistency, generalization, and real-world validation.</x:v>
      </x:c>
      <x:c r="AV6" s="13" t="str">
        <x:v>The survey organizes the field into implicit world modeling, latent dynamics modeling, and video generation.</x:v>
      </x:c>
      <x:c r="AW6" s="13" t="str">
        <x:v>Decision support includes action prediction, policy learning, and visual planning across many reviewed systems.</x:v>
      </x:c>
      <x:c r="AX6" s="13" t="str">
        <x:v>The paper identifies error accumulation, flat architectures, and weak abstraction as major obstacles to long-horizon manipulation.</x:v>
      </x:c>
      <x:c r="AY6" s="13" t="str">
        <x:v>High</x:v>
      </x:c>
      <x:c r="AZ6" s="13" t="str">
        <x:v>Exclude from method-only counts; content is explicitly preliminary and may change in later versions.</x:v>
      </x:c>
      <x:c r="BA6" s="13" t="str">
        <x:v>A Step Towrad World Models: A Survey on Robotic Manipulation.txt</x:v>
      </x:c>
    </x:row>
    <x:row r="7">
      <x:c r="A7" s="13" t="str">
        <x:v>batch_02</x:v>
      </x:c>
      <x:c r="B7" s="13" t="str">
        <x:v>B02-001</x:v>
      </x:c>
      <x:c r="C7" s="13" t="str">
        <x:v>A Survey on Vision-Language-Action Models for Embodied AI</x:v>
      </x:c>
      <x:c r="D7" s="13" t="str">
        <x:v>Yueen Ma; Zixing Song; Yuzheng Zhuang; Jianye Hao; Irwin King</x:v>
      </x:c>
      <x:c r="E7" s="13" t="n">
        <x:v>2024</x:v>
      </x:c>
      <x:c r="F7" s="13" t="str">
        <x:v>First public appearance: arXiv:2405.14093 in 2024; later published in IEEE TNNLS with a 2025 DOI</x:v>
      </x:c>
      <x:c r="G7" s="13" t="str">
        <x:v>IEEE Transactions on Neural Networks and Learning Systems</x:v>
      </x:c>
      <x:c r="H7" s="13" t="str">
        <x:v>Peer-reviewed journal survey</x:v>
      </x:c>
      <x:c r="I7" s="13" t="str">
        <x:v>Survey</x:v>
      </x:c>
      <x:c r="J7" s="13" t="str"/>
      <x:c r="K7" s="13" t="str">
        <x:v>10.1109/TNNLS.2025.3650584; arXiv:2405.14093</x:v>
      </x:c>
      <x:c r="L7" s="13" t="str">
        <x:v>Yes</x:v>
      </x:c>
      <x:c r="M7" s="13" t="str">
        <x:v>Companion curated repository: Awesome-VLA.</x:v>
      </x:c>
      <x:c r="N7" s="13" t="str">
        <x:v>General Robotics; Embodied AI</x:v>
      </x:c>
      <x:c r="O7" s="13" t="str">
        <x:v>Survey; Vision-Language-Action Models; Planning</x:v>
      </x:c>
      <x:c r="P7" s="13" t="str">
        <x:v>N/A — survey reviews long-horizon task planners</x:v>
      </x:c>
      <x:c r="Q7" s="13" t="str">
        <x:v>N/A — language conditioning is central to the surveyed field</x:v>
      </x:c>
      <x:c r="R7" s="13" t="str">
        <x:v>N/A — survey covers user instruction following and embodied interaction</x:v>
      </x:c>
      <x:c r="S7" s="13" t="str">
        <x:v>N/A — survey reviews world models as VLA components</x:v>
      </x:c>
      <x:c r="T7" s="13" t="str">
        <x:v>N/A — multiple families reviewed</x:v>
      </x:c>
      <x:c r="U7" s="13" t="str">
        <x:v>Reviews latent dynamics, LLM-induced world models, visual world models, and related dynamics-learning components.</x:v>
      </x:c>
      <x:c r="V7" s="13" t="str">
        <x:v>N/A</x:v>
      </x:c>
      <x:c r="W7" s="13" t="str">
        <x:v>N/A</x:v>
      </x:c>
      <x:c r="X7" s="13" t="str">
        <x:v>N/A</x:v>
      </x:c>
      <x:c r="Y7" s="13" t="str">
        <x:v>N/A</x:v>
      </x:c>
      <x:c r="Z7" s="13" t="str">
        <x:v>N/A — survey reviews low-level policies and high-level task planners</x:v>
      </x:c>
      <x:c r="AA7" s="13" t="str">
        <x:v>N/A</x:v>
      </x:c>
      <x:c r="AB7" s="13" t="str">
        <x:v>N/A</x:v>
      </x:c>
      <x:c r="AC7" s="13" t="str">
        <x:v>N/A</x:v>
      </x:c>
      <x:c r="AD7" s="13" t="str">
        <x:v>The survey treats hierarchical task decomposition as the dominant current approach to long-horizon VLA tasks.</x:v>
      </x:c>
      <x:c r="AE7" s="13" t="str">
        <x:v>N/A</x:v>
      </x:c>
      <x:c r="AF7" s="13" t="str">
        <x:v>N/A</x:v>
      </x:c>
      <x:c r="AG7" s="13" t="str">
        <x:v>N/A</x:v>
      </x:c>
      <x:c r="AH7" s="13" t="str">
        <x:v>N/A</x:v>
      </x:c>
      <x:c r="AI7" s="13" t="str">
        <x:v>N/A</x:v>
      </x:c>
      <x:c r="AJ7" s="13" t="str">
        <x:v>N/A</x:v>
      </x:c>
      <x:c r="AK7" s="13" t="str">
        <x:v>Multiple: vision; language; state; action; 3D; multimodal sensing</x:v>
      </x:c>
      <x:c r="AL7" s="13" t="str">
        <x:v>Primarily language; multiple goal forms reviewed</x:v>
      </x:c>
      <x:c r="AM7" s="13" t="str">
        <x:v>Multiple</x:v>
      </x:c>
      <x:c r="AN7" s="13" t="str">
        <x:v>Multiple real-world and simulation datasets, simulators, and VLA/task-planning benchmarks</x:v>
      </x:c>
      <x:c r="AO7" s="13" t="str">
        <x:v>Multiple</x:v>
      </x:c>
      <x:c r="AP7" s="13" t="str">
        <x:v>Both / Survey</x:v>
      </x:c>
      <x:c r="AQ7" s="13" t="str">
        <x:v>Both / Survey</x:v>
      </x:c>
      <x:c r="AR7" s="13" t="str">
        <x:v>Provides a VLA taxonomy spanning components, low-level control policies, and high-level task planners, with associated datasets, simulators, and benchmarks.</x:v>
      </x:c>
      <x:c r="AS7" s="13" t="str">
        <x:v>Explicitly organizes VLA research around a hierarchical split between action-generating control policies and long-horizon task planners.</x:v>
      </x:c>
      <x:c r="AT7" s="13" t="str">
        <x:v>The surveyed field faces unresolved safety, benchmark coverage, generalization, multimodal alignment, long-horizon integration, latency, and multiagent coordination challenges.</x:v>
      </x:c>
      <x:c r="AU7" s="13" t="str">
        <x:v>Develop unified end-to-end long-horizon VLA systems, broader benchmarks, safer and faster deployment, stronger foundation-model generalization, and richer multimodal sensing.</x:v>
      </x:c>
      <x:c r="AV7" s="13" t="str">
        <x:v>The survey defines world models as predictors of future states conditioned on states and actions and reviews latent, textual, and visual variants.</x:v>
      </x:c>
      <x:c r="AW7" s="13" t="str">
        <x:v>It separates high-level task planners from low-level VLA control policies and reviews monolithic and modular planners.</x:v>
      </x:c>
      <x:c r="AX7" s="13" t="str">
        <x:v>The survey states that hierarchical systems are currently the most practical approach for long-horizon tasks but introduce latency and additional failure points.</x:v>
      </x:c>
      <x:c r="AY7" s="13" t="str">
        <x:v>High</x:v>
      </x:c>
      <x:c r="AZ7" s="13" t="str">
        <x:v>Exclude from method-only model and performance counts; retain for survey trends, taxonomy comparison, and long-horizon gap analysis.</x:v>
      </x:c>
      <x:c r="BA7" s="13" t="str">
        <x:v>A Survey on Vision--Language--Action Models for Embodied AI.txt</x:v>
      </x:c>
    </x:row>
    <x:row r="8">
      <x:c r="A8" s="13" t="str">
        <x:v>batch_02</x:v>
      </x:c>
      <x:c r="B8" s="13" t="str">
        <x:v>B02-002</x:v>
      </x:c>
      <x:c r="C8" s="13" t="str">
        <x:v>Causal-JEPA: Learning World Models through Object-Level Latent Masking</x:v>
      </x:c>
      <x:c r="D8" s="13" t="str">
        <x:v>Heejeong Nam; Quentin Le Lidec; Lucas Maes; Yann LeCun; Randall Balestriero</x:v>
      </x:c>
      <x:c r="E8" s="13" t="n">
        <x:v>2026</x:v>
      </x:c>
      <x:c r="F8" s="13" t="str">
        <x:v>First public appearance: arXiv:2602.11389 in 2026; ICML 2026 publication</x:v>
      </x:c>
      <x:c r="G8" s="13" t="str">
        <x:v>International Conference on Machine Learning (ICML)</x:v>
      </x:c>
      <x:c r="H8" s="13" t="str">
        <x:v>Peer-reviewed conference article</x:v>
      </x:c>
      <x:c r="I8" s="13" t="str">
        <x:v>Method</x:v>
      </x:c>
      <x:c r="J8" s="13" t="str"/>
      <x:c r="K8" s="13" t="str">
        <x:v>arXiv:2602.11389; PMLR 306</x:v>
      </x:c>
      <x:c r="L8" s="13" t="str">
        <x:v>Yes</x:v>
      </x:c>
      <x:c r="M8" s="13" t="str">
        <x:v>Code repository reported by the paper: https://github.com/galilai-group/cjepa</x:v>
      </x:c>
      <x:c r="N8" s="13" t="str">
        <x:v>Manipulation; Physical Reasoning</x:v>
      </x:c>
      <x:c r="O8" s="13" t="str">
        <x:v>World Modeling; Planning; Representation Learning</x:v>
      </x:c>
      <x:c r="P8" s="13" t="str">
        <x:v>No</x:v>
      </x:c>
      <x:c r="Q8" s="13" t="str">
        <x:v>No</x:v>
      </x:c>
      <x:c r="R8" s="13" t="str">
        <x:v>No</x:v>
      </x:c>
      <x:c r="S8" s="13" t="str">
        <x:v>Yes</x:v>
      </x:c>
      <x:c r="T8" s="13" t="str">
        <x:v>JEPA</x:v>
      </x:c>
      <x:c r="U8" s="13" t="str">
        <x:v>Object-centric JEPA with a frozen visual/object encoder and a masked transformer predictor trained on history completion and future latent prediction.</x:v>
      </x:c>
      <x:c r="V8" s="13" t="str">
        <x:v>Object-Centric Latent</x:v>
      </x:c>
      <x:c r="W8" s="13" t="str">
        <x:v>Masked historical object states and future object-centric latent states</x:v>
      </x:c>
      <x:c r="X8" s="13" t="str">
        <x:v>Yes</x:v>
      </x:c>
      <x:c r="Y8" s="13" t="str">
        <x:v>No</x:v>
      </x:c>
      <x:c r="Z8" s="13" t="str">
        <x:v>Yes</x:v>
      </x:c>
      <x:c r="AA8" s="13" t="str">
        <x:v>MPC; Cross-Entropy Method</x:v>
      </x:c>
      <x:c r="AB8" s="13" t="str">
        <x:v>Object-centric latent</x:v>
      </x:c>
      <x:c r="AC8" s="13" t="str">
        <x:v>Medium</x:v>
      </x:c>
      <x:c r="AD8" s="13" t="str">
        <x:v>MPC uses H=5 action blocks of size B=5, producing a 25-action optimized sequence; the evaluation episode budget is 50 steps.</x:v>
      </x:c>
      <x:c r="AE8" s="13" t="str">
        <x:v>No</x:v>
      </x:c>
      <x:c r="AF8" s="13" t="str">
        <x:v>Yes</x:v>
      </x:c>
      <x:c r="AG8" s="13" t="str">
        <x:v>Local Controller</x:v>
      </x:c>
      <x:c r="AH8" s="13" t="str">
        <x:v>Self-supervised World Model Learning</x:v>
      </x:c>
      <x:c r="AI8" s="13" t="str">
        <x:v>None — actions are selected by MPC rather than a learned policy</x:v>
      </x:c>
      <x:c r="AJ8" s="13" t="str">
        <x:v>Yes — frozen DINOv2-derived visual features and object-centric encoder</x:v>
      </x:c>
      <x:c r="AK8" s="13" t="str">
        <x:v>RGB video; action; proprioception</x:v>
      </x:c>
      <x:c r="AL8" s="13" t="str">
        <x:v>Goal observation encoded as an object-centric latent state</x:v>
      </x:c>
      <x:c r="AM8" s="13" t="str">
        <x:v>Continuous</x:v>
      </x:c>
      <x:c r="AN8" s="13" t="str">
        <x:v>CLEVRER; Push-T</x:v>
      </x:c>
      <x:c r="AO8" s="13" t="str">
        <x:v>Simulation-only planar pushing agent</x:v>
      </x:c>
      <x:c r="AP8" s="13" t="str">
        <x:v>Yes</x:v>
      </x:c>
      <x:c r="AQ8" s="13" t="str">
        <x:v>No</x:v>
      </x:c>
      <x:c r="AR8" s="13" t="str">
        <x:v>Introduces object-level latent masking in a JEPA world model to make interaction-dependent prediction necessary while greatly reducing planning token cost.</x:v>
      </x:c>
      <x:c r="AS8" s="13" t="str">
        <x:v>Treats masked object states as counterfactual-like observability interventions, combining object-centric abstraction with reconstruction-free joint latent prediction.</x:v>
      </x:c>
      <x:c r="AT8" s="13" t="str">
        <x:v>Performance is bounded by the object-centric encoder, influence neighborhoods are not validated against explicit temporal causal graphs, and evaluation is limited to relatively controlled environments.</x:v>
      </x:c>
      <x:c r="AU8" s="13" t="str">
        <x:v>Jointly refine stronger object-centric encoders without collapse and evaluate in more complex environments with richer interactions and explicit causal structure.</x:v>
      </x:c>
      <x:c r="AV8" s="13" t="str">
        <x:v>The predictor completes masked object histories and predicts future object latents, optionally conditioned on actions and proprioception.</x:v>
      </x:c>
      <x:c r="AW8" s="13" t="str">
        <x:v>Push-T actions are optimized with CEM and repeatedly executed in an MPC scheme using predicted latent goal error.</x:v>
      </x:c>
      <x:c r="AX8" s="13" t="str">
        <x:v>The optimized sequence contains 25 low-level actions, which is medium under the dataset rule and is not task-level long-horizon planning.</x:v>
      </x:c>
      <x:c r="AY8" s="13" t="str">
        <x:v>High</x:v>
      </x:c>
      <x:c r="AZ8" s="13" t="str">
        <x:v>Core JEPA/world-model paper. Do not equate its 25-action MPC horizon with long-horizon task decomposition.</x:v>
      </x:c>
      <x:c r="BA8" s="13" t="str">
        <x:v>Causal-JEPA_ Learning World Models through Object-Level Latent Interventions.txt</x:v>
      </x:c>
    </x:row>
    <x:row r="9">
      <x:c r="A9" s="13" t="str">
        <x:v>batch_02</x:v>
      </x:c>
      <x:c r="B9" s="13" t="str">
        <x:v>B02-003</x:v>
      </x:c>
      <x:c r="C9" s="13" t="str">
        <x:v>Continuous control actions learning and adaptation for robotic manipulation through reinforcement learning</x:v>
      </x:c>
      <x:c r="D9" s="13" t="str">
        <x:v>Asad Ali Shahid; Dario Piga; Francesco Braghin; Loris Roveda</x:v>
      </x:c>
      <x:c r="E9" s="13" t="n">
        <x:v>2022</x:v>
      </x:c>
      <x:c r="F9" s="13" t="str">
        <x:v>Published online 9 Feb 2022</x:v>
      </x:c>
      <x:c r="G9" s="13" t="str">
        <x:v>Autonomous Robots</x:v>
      </x:c>
      <x:c r="H9" s="13" t="str">
        <x:v>Peer-reviewed journal article</x:v>
      </x:c>
      <x:c r="I9" s="13" t="str">
        <x:v>Method</x:v>
      </x:c>
      <x:c r="J9" s="13" t="str"/>
      <x:c r="K9" s="13" t="str">
        <x:v>10.1007/s10514-022-10034-z</x:v>
      </x:c>
      <x:c r="L9" s="13" t="str">
        <x:v>Yes</x:v>
      </x:c>
      <x:c r="M9" s="13" t="str">
        <x:v>Software repository reported by the paper: https://github.com/Asad-Shahid/Intelligent-Task-Learning</x:v>
      </x:c>
      <x:c r="N9" s="13" t="str">
        <x:v>Manipulation; Grasping</x:v>
      </x:c>
      <x:c r="O9" s="13" t="str">
        <x:v>Policy Learning; Reinforcement Learning; Adaptation</x:v>
      </x:c>
      <x:c r="P9" s="13" t="str">
        <x:v>No</x:v>
      </x:c>
      <x:c r="Q9" s="13" t="str">
        <x:v>No</x:v>
      </x:c>
      <x:c r="R9" s="13" t="str">
        <x:v>No</x:v>
      </x:c>
      <x:c r="S9" s="13" t="str">
        <x:v>No</x:v>
      </x:c>
      <x:c r="T9" s="13" t="str">
        <x:v>None</x:v>
      </x:c>
      <x:c r="U9" s="13" t="str">
        <x:v>N/A — PPO and SAC are used as model-free reinforcement-learning algorithms.</x:v>
      </x:c>
      <x:c r="V9" s="13" t="str">
        <x:v>N/A</x:v>
      </x:c>
      <x:c r="W9" s="13" t="str">
        <x:v>N/A</x:v>
      </x:c>
      <x:c r="X9" s="13" t="str">
        <x:v>N/A</x:v>
      </x:c>
      <x:c r="Y9" s="13" t="str">
        <x:v>No</x:v>
      </x:c>
      <x:c r="Z9" s="13" t="str">
        <x:v>No</x:v>
      </x:c>
      <x:c r="AA9" s="13" t="str">
        <x:v>None</x:v>
      </x:c>
      <x:c r="AB9" s="13" t="str">
        <x:v>N/A</x:v>
      </x:c>
      <x:c r="AC9" s="13" t="str">
        <x:v>None</x:v>
      </x:c>
      <x:c r="AD9" s="13" t="str">
        <x:v>A closed-loop policy directly executes a single grasp-and-lift task; no explicit planner or task decomposition is used.</x:v>
      </x:c>
      <x:c r="AE9" s="13" t="str">
        <x:v>No</x:v>
      </x:c>
      <x:c r="AF9" s="13" t="str">
        <x:v>No</x:v>
      </x:c>
      <x:c r="AG9" s="13" t="str">
        <x:v>None</x:v>
      </x:c>
      <x:c r="AH9" s="13" t="str">
        <x:v>Model-free Reinforcement Learning; Fine-Tuning; Sim-to-Real</x:v>
      </x:c>
      <x:c r="AI9" s="13" t="str">
        <x:v>RL Policy</x:v>
      </x:c>
      <x:c r="AJ9" s="13" t="str">
        <x:v>Yes — a base grasping policy initializes adaptation to modified objectives</x:v>
      </x:c>
      <x:c r="AK9" s="13" t="str">
        <x:v>State: robot proprioception; object pose; relative object-gripper position</x:v>
      </x:c>
      <x:c r="AL9" s="13" t="str">
        <x:v>Reward-defined grasp-and-lift objective</x:v>
      </x:c>
      <x:c r="AM9" s="13" t="str">
        <x:v>Continuous: seven joint-velocity commands plus gripper command</x:v>
      </x:c>
      <x:c r="AN9" s="13" t="str">
        <x:v>Custom MuJoCo grasping and obstacle-avoidance tasks</x:v>
      </x:c>
      <x:c r="AO9" s="13" t="str">
        <x:v>Franka Emika Panda</x:v>
      </x:c>
      <x:c r="AP9" s="13" t="str">
        <x:v>Yes</x:v>
      </x:c>
      <x:c r="AQ9" s="13" t="str">
        <x:v>Yes</x:v>
      </x:c>
      <x:c r="AR9" s="13" t="str">
        <x:v>Compares PPO and SAC for continuous robotic grasp control and proposes sequential fine-tuning to adapt a learned policy to additional performance and safety objectives.</x:v>
      </x:c>
      <x:c r="AS9" s="13" t="str">
        <x:v>Demonstrates model-free policy adaptation with an unconstrained continuous joint-command action space and zero-shot transfer from simulation to a real Franka robot.</x:v>
      </x:c>
      <x:c r="AT9" s="13" t="str">
        <x:v>The approach still depends on simulated training, uses engineered state information rather than vision, and evaluates a narrow grasping task; direct real-world learning remains sample inefficient.</x:v>
      </x:c>
      <x:c r="AU9" s="13" t="str">
        <x:v>Study rigorous one-shot versus fine-tuning comparisons, model-based and meta-RL adaptation, dynamic targets and obstacles, human-aware safety, multiagent modular control, and visual environment updates.</x:v>
      </x:c>
      <x:c r="AV9" s="13" t="str">
        <x:v>The paper explicitly uses model-free PPO and SAC and does not learn predictive environment dynamics.</x:v>
      </x:c>
      <x:c r="AW9" s="13" t="str">
        <x:v>The stochastic policy maps the current 46-dimensional state directly to continuous robot commands without search or trajectory optimization.</x:v>
      </x:c>
      <x:c r="AX9" s="13" t="str">
        <x:v>The evaluation is a single reach-grasp-lift behavior with additional control constraints, not a long-horizon task plan.</x:v>
      </x:c>
      <x:c r="AY9" s="13" t="str">
        <x:v>High</x:v>
      </x:c>
      <x:c r="AZ9" s="13" t="str">
        <x:v>Supporting model-free comparison; peripheral to core world-model and explicit-planning analyses.</x:v>
      </x:c>
      <x:c r="BA9" s="13" t="str">
        <x:v>Continuous control actions learning and adaptation for robotic manipulation through reinforcement learning.txt</x:v>
      </x:c>
    </x:row>
    <x:row r="10">
      <x:c r="A10" s="13" t="str">
        <x:v>batch_02</x:v>
      </x:c>
      <x:c r="B10" s="13" t="str">
        <x:v>B02-004</x:v>
      </x:c>
      <x:c r="C10" s="13" t="str">
        <x:v>DayDreamer: World Models for Physical Robot Learning</x:v>
      </x:c>
      <x:c r="D10" s="13" t="str">
        <x:v>Philipp Wu; Alejandro Escontrela; Danijar Hafner; Ken Goldberg; Pieter Abbeel</x:v>
      </x:c>
      <x:c r="E10" s="13" t="n">
        <x:v>2022</x:v>
      </x:c>
      <x:c r="F10" s="13" t="str">
        <x:v>First public appearance: arXiv:2206.14176 on 28 Jun 2022; CoRL 2022</x:v>
      </x:c>
      <x:c r="G10" s="13" t="str">
        <x:v>Conference on Robot Learning (CoRL)</x:v>
      </x:c>
      <x:c r="H10" s="13" t="str">
        <x:v>Peer-reviewed conference article</x:v>
      </x:c>
      <x:c r="I10" s="13" t="str">
        <x:v>Method</x:v>
      </x:c>
      <x:c r="J10" s="13" t="str"/>
      <x:c r="K10" s="13" t="str">
        <x:v>arXiv:2206.14176; PMLR 205</x:v>
      </x:c>
      <x:c r="L10" s="13" t="str">
        <x:v>Yes</x:v>
      </x:c>
      <x:c r="M10" s="13" t="str">
        <x:v>The authors publicly release the experiment infrastructure and provide a project website.</x:v>
      </x:c>
      <x:c r="N10" s="13" t="str">
        <x:v>General Robotics; Manipulation; Locomotion; Navigation</x:v>
      </x:c>
      <x:c r="O10" s="13" t="str">
        <x:v>World Modeling; Model-Based Reinforcement Learning; Policy Learning</x:v>
      </x:c>
      <x:c r="P10" s="13" t="str">
        <x:v>No / Unclear</x:v>
      </x:c>
      <x:c r="Q10" s="13" t="str">
        <x:v>No</x:v>
      </x:c>
      <x:c r="R10" s="13" t="str">
        <x:v>No</x:v>
      </x:c>
      <x:c r="S10" s="13" t="str">
        <x:v>Yes</x:v>
      </x:c>
      <x:c r="T10" s="13" t="str">
        <x:v>RSSM</x:v>
      </x:c>
      <x:c r="U10" s="13" t="str">
        <x:v>Dreamer recurrent state-space model with multimodal encoder, stochastic latent dynamics, observation decoder, reward model, and actor-critic behavior learning.</x:v>
      </x:c>
      <x:c r="V10" s="13" t="str">
        <x:v>Latent</x:v>
      </x:c>
      <x:c r="W10" s="13" t="str">
        <x:v>Future latent states; observations; rewards</x:v>
      </x:c>
      <x:c r="X10" s="13" t="str">
        <x:v>Yes</x:v>
      </x:c>
      <x:c r="Y10" s="13" t="str">
        <x:v>No</x:v>
      </x:c>
      <x:c r="Z10" s="13" t="str">
        <x:v>Yes</x:v>
      </x:c>
      <x:c r="AA10" s="13" t="str">
        <x:v>Policy Rollout — actor-critic optimization from imagined latent trajectories</x:v>
      </x:c>
      <x:c r="AB10" s="13" t="str">
        <x:v>Latent</x:v>
      </x:c>
      <x:c r="AC10" s="13" t="str">
        <x:v>Medium</x:v>
      </x:c>
      <x:c r="AD10" s="13" t="str">
        <x:v>Imagined actor-critic rollouts use H=16 steps; the critic bootstraps beyond that horizon to learn longer-term strategies.</x:v>
      </x:c>
      <x:c r="AE10" s="13" t="str">
        <x:v>No</x:v>
      </x:c>
      <x:c r="AF10" s="13" t="str">
        <x:v>No</x:v>
      </x:c>
      <x:c r="AG10" s="13" t="str">
        <x:v>Local Controller</x:v>
      </x:c>
      <x:c r="AH10" s="13" t="str">
        <x:v>Model-Based Reinforcement Learning; Online Real-World Learning</x:v>
      </x:c>
      <x:c r="AI10" s="13" t="str">
        <x:v>Actor-Critic RL Policy</x:v>
      </x:c>
      <x:c r="AJ10" s="13" t="str">
        <x:v>No — each task is learned online from scratch</x:v>
      </x:c>
      <x:c r="AK10" s="13" t="str">
        <x:v>Multimodal: RGB cameras; proprioception; velocity and task-specific sensors</x:v>
      </x:c>
      <x:c r="AL10" s="13" t="str">
        <x:v>Reward-defined task objective; explicit goal position for navigation</x:v>
      </x:c>
      <x:c r="AM10" s="13" t="str">
        <x:v>Multiple: continuous and discrete across platforms</x:v>
      </x:c>
      <x:c r="AN10" s="13" t="str">
        <x:v>Custom real-world A1 walking; UR5 and XArm pick-and-place; Sphero navigation</x:v>
      </x:c>
      <x:c r="AO10" s="13" t="str">
        <x:v>Unitree A1; UR5; XArm; Sphero</x:v>
      </x:c>
      <x:c r="AP10" s="13" t="str">
        <x:v>No</x:v>
      </x:c>
      <x:c r="AQ10" s="13" t="str">
        <x:v>Yes</x:v>
      </x:c>
      <x:c r="AR10" s="13" t="str">
        <x:v>Demonstrates that Dreamer can learn locomotion, manipulation, and navigation directly on four physical robots without simulators or demonstrations.</x:v>
      </x:c>
      <x:c r="AS10" s="13" t="str">
        <x:v>Establishes a common real-world world-model baseline across diverse robots and sensing/action configurations using the same hyperparameters.</x:v>
      </x:c>
      <x:c r="AT10" s="13" t="str">
        <x:v>Multi-hour hardware learning causes robot wear and possible human intervention, experiments may not expose the method's ultimate limits, and the evaluated tasks remain comparatively constrained.</x:v>
      </x:c>
      <x:c r="AU10" s="13" t="str">
        <x:v>Train longer, tackle more challenging tasks, and combine fast real-world world-model learning with the benefits of simulation.</x:v>
      </x:c>
      <x:c r="AV10" s="13" t="str">
        <x:v>An action-conditioned RSSM learns latent dynamics from replayed real-world experience and predicts trajectories used for behavior learning.</x:v>
      </x:c>
      <x:c r="AW10" s="13" t="str">
        <x:v>The actor and critic are optimized on imagined latent rollouts rather than by deployment-time MPC or search.</x:v>
      </x:c>
      <x:c r="AX10" s="13" t="str">
        <x:v>The imagination horizon is 16 steps; this supports long-term control strategies but not high-level long-horizon task decomposition.</x:v>
      </x:c>
      <x:c r="AY10" s="13" t="str">
        <x:v>High</x:v>
      </x:c>
      <x:c r="AZ10" s="13" t="str">
        <x:v>Core world-model baseline. Count as imagination-based policy planning, not deployment-time trajectory optimization.</x:v>
      </x:c>
      <x:c r="BA10" s="13" t="str">
        <x:v>DayDreamer_ World Models for Physical Robot Learning.txt</x:v>
      </x:c>
    </x:row>
    <x:row r="11">
      <x:c r="A11" s="13" t="str">
        <x:v>batch_02</x:v>
      </x:c>
      <x:c r="B11" s="13" t="str">
        <x:v>B02-005</x:v>
      </x:c>
      <x:c r="C11" s="13" t="str">
        <x:v>Dexterous Manipulation for Multi-Fingered Robotic Hands With Reinforcement Learning: A Review</x:v>
      </x:c>
      <x:c r="D11" s="13" t="str">
        <x:v>Chunmiao Yu; Peng Wang</x:v>
      </x:c>
      <x:c r="E11" s="13" t="n">
        <x:v>2022</x:v>
      </x:c>
      <x:c r="F11" s="13" t="str">
        <x:v>Published 25 Apr 2022</x:v>
      </x:c>
      <x:c r="G11" s="13" t="str">
        <x:v>Frontiers in Neurorobotics</x:v>
      </x:c>
      <x:c r="H11" s="13" t="str">
        <x:v>Peer-reviewed review article</x:v>
      </x:c>
      <x:c r="I11" s="13" t="str">
        <x:v>Survey</x:v>
      </x:c>
      <x:c r="J11" s="13" t="str"/>
      <x:c r="K11" s="13" t="str">
        <x:v>10.3389/fnbot.2022.861825</x:v>
      </x:c>
      <x:c r="L11" s="13" t="str">
        <x:v>Unknown</x:v>
      </x:c>
      <x:c r="M11" s="13" t="str">
        <x:v>The article is open access, but no companion code or curated dataset repository is identified.</x:v>
      </x:c>
      <x:c r="N11" s="13" t="str">
        <x:v>Dexterous Manipulation</x:v>
      </x:c>
      <x:c r="O11" s="13" t="str">
        <x:v>Survey; Reinforcement Learning; Sim-to-Real</x:v>
      </x:c>
      <x:c r="P11" s="13" t="str">
        <x:v>N/A</x:v>
      </x:c>
      <x:c r="Q11" s="13" t="str">
        <x:v>N/A</x:v>
      </x:c>
      <x:c r="R11" s="13" t="str">
        <x:v>N/A</x:v>
      </x:c>
      <x:c r="S11" s="13" t="str">
        <x:v>N/A — not focused on learned world models</x:v>
      </x:c>
      <x:c r="T11" s="13" t="str">
        <x:v>N/A</x:v>
      </x:c>
      <x:c r="U11" s="13" t="str">
        <x:v>Reviews classical analytical modeling as well as model-free RL, learning from demonstration, and sim-to-real transfer.</x:v>
      </x:c>
      <x:c r="V11" s="13" t="str">
        <x:v>N/A</x:v>
      </x:c>
      <x:c r="W11" s="13" t="str">
        <x:v>N/A</x:v>
      </x:c>
      <x:c r="X11" s="13" t="str">
        <x:v>N/A</x:v>
      </x:c>
      <x:c r="Y11" s="13" t="str">
        <x:v>N/A</x:v>
      </x:c>
      <x:c r="Z11" s="13" t="str">
        <x:v>N/A — reviews classical grasp and motion planning</x:v>
      </x:c>
      <x:c r="AA11" s="13" t="str">
        <x:v>N/A</x:v>
      </x:c>
      <x:c r="AB11" s="13" t="str">
        <x:v>N/A</x:v>
      </x:c>
      <x:c r="AC11" s="13" t="str">
        <x:v>N/A</x:v>
      </x:c>
      <x:c r="AD11" s="13" t="str">
        <x:v>The review does not present one implemented planner or a normalized planning horizon.</x:v>
      </x:c>
      <x:c r="AE11" s="13" t="str">
        <x:v>N/A</x:v>
      </x:c>
      <x:c r="AF11" s="13" t="str">
        <x:v>N/A</x:v>
      </x:c>
      <x:c r="AG11" s="13" t="str">
        <x:v>N/A</x:v>
      </x:c>
      <x:c r="AH11" s="13" t="str">
        <x:v>N/A</x:v>
      </x:c>
      <x:c r="AI11" s="13" t="str">
        <x:v>N/A</x:v>
      </x:c>
      <x:c r="AJ11" s="13" t="str">
        <x:v>N/A</x:v>
      </x:c>
      <x:c r="AK11" s="13" t="str">
        <x:v>Multiple: proprioception; vision; tactile and other sensors discussed</x:v>
      </x:c>
      <x:c r="AL11" s="13" t="str">
        <x:v>Multiple task-specific objectives</x:v>
      </x:c>
      <x:c r="AM11" s="13" t="str">
        <x:v>Multiple</x:v>
      </x:c>
      <x:c r="AN11" s="13" t="str">
        <x:v>Multiple dexterous-hand tasks and simulation environments</x:v>
      </x:c>
      <x:c r="AO11" s="13" t="str">
        <x:v>Multiple: Shadow Hand; Allegro; TriFinger; DClaw; Utah/MIT; DLR/HIT II and others</x:v>
      </x:c>
      <x:c r="AP11" s="13" t="str">
        <x:v>Both / Survey</x:v>
      </x:c>
      <x:c r="AQ11" s="13" t="str">
        <x:v>Both / Survey</x:v>
      </x:c>
      <x:c r="AR11" s="13" t="str">
        <x:v>Reviews classical modeling/planning/control and reinforcement-learning approaches for multi-finger dexterous manipulation, including demonstrations and sim-to-real transfer.</x:v>
      </x:c>
      <x:c r="AS11" s="13" t="str">
        <x:v>Concentrates specifically on reinforcement-learning methods for multi-fingered hands and connects them to earlier analytical manipulation methods.</x:v>
      </x:c>
      <x:c r="AT11" s="13" t="str">
        <x:v>The field remains constrained by sample inefficiency, exploration difficulty, sim-to-real gaps, high hardware cost, poor generalization, limited sensing, and inability to perform many complex tasks.</x:v>
      </x:c>
      <x:c r="AU11" s="13" t="str">
        <x:v>Improve simulators, sensor fusion, algorithms and adaptation, semantic instruction understanding, robotic-hand hardware, manipulation in non-air media, and foundational contact theory.</x:v>
      </x:c>
      <x:c r="AV11" s="13" t="str">
        <x:v>The review discusses analytical models and reinforcement learning but is not organized around learned predictive world models.</x:v>
      </x:c>
      <x:c r="AW11" s="13" t="str">
        <x:v>It reviews high-level grasp and motion planning as background rather than proposing a single planning architecture.</x:v>
      </x:c>
      <x:c r="AX11" s="13" t="str">
        <x:v>No paper-level long-horizon planning method or task decomposition is evaluated.</x:v>
      </x:c>
      <x:c r="AY11" s="13" t="str">
        <x:v>High</x:v>
      </x:c>
      <x:c r="AZ11" s="13" t="str">
        <x:v>Peripheral to the core corpus; useful as historical dexterous-manipulation context but should be excluded from core world-model and long-horizon method counts.</x:v>
      </x:c>
      <x:c r="BA11" s="13" t="str">
        <x:v>Dexterous Manipulation for Multi-Fingered Robotic Hands With Reinforcement Learning_ A Review.txt</x:v>
      </x:c>
    </x:row>
    <x:row r="12">
      <x:c r="A12" s="13" t="str">
        <x:v>batch_03</x:v>
      </x:c>
      <x:c r="B12" s="13" t="str">
        <x:v>B03-001</x:v>
      </x:c>
      <x:c r="C12" s="13" t="str">
        <x:v>DINO-WM: World Models on Pre-trained Visual Features enable Zero-shot Planning</x:v>
      </x:c>
      <x:c r="D12" s="13" t="str">
        <x:v>Gaoyue Zhou; Hengkai Pan; Yann LeCun; Lerrel Pinto</x:v>
      </x:c>
      <x:c r="E12" s="13" t="n">
        <x:v>2024</x:v>
      </x:c>
      <x:c r="F12" s="13" t="str">
        <x:v>First public appearance: arXiv:2411.04983 on 7 Nov 2024; later published at ICML 2025</x:v>
      </x:c>
      <x:c r="G12" s="13" t="str">
        <x:v>International Conference on Machine Learning (ICML)</x:v>
      </x:c>
      <x:c r="H12" s="13" t="str">
        <x:v>Peer-reviewed conference article</x:v>
      </x:c>
      <x:c r="I12" s="13" t="str">
        <x:v>Method</x:v>
      </x:c>
      <x:c r="J12" s="13" t="str"/>
      <x:c r="K12" s="13" t="str">
        <x:v>arXiv:2411.04983; PMLR 267</x:v>
      </x:c>
      <x:c r="L12" s="13" t="str">
        <x:v>Yes</x:v>
      </x:c>
      <x:c r="M12" s="13" t="str">
        <x:v>Code and trained models are released through the DINO-WM project repository/site.</x:v>
      </x:c>
      <x:c r="N12" s="13" t="str">
        <x:v>General Robotics; Manipulation; Navigation; Deformable-Object Control</x:v>
      </x:c>
      <x:c r="O12" s="13" t="str">
        <x:v>World Modeling; Planning; Zero-Shot Goal Reaching</x:v>
      </x:c>
      <x:c r="P12" s="13" t="str">
        <x:v>No</x:v>
      </x:c>
      <x:c r="Q12" s="13" t="str">
        <x:v>No</x:v>
      </x:c>
      <x:c r="R12" s="13" t="str">
        <x:v>No</x:v>
      </x:c>
      <x:c r="S12" s="13" t="str">
        <x:v>Yes</x:v>
      </x:c>
      <x:c r="T12" s="13" t="str">
        <x:v>Latent Dynamics</x:v>
      </x:c>
      <x:c r="U12" s="13" t="str">
        <x:v>Frozen DINOv2 patch encoder with an autoregressive causal ViT transition model; the image decoder is optional and not needed for planning.</x:v>
      </x:c>
      <x:c r="V12" s="13" t="str">
        <x:v>Latent</x:v>
      </x:c>
      <x:c r="W12" s="13" t="str">
        <x:v>Future DINOv2 spatial patch features</x:v>
      </x:c>
      <x:c r="X12" s="13" t="str">
        <x:v>Yes</x:v>
      </x:c>
      <x:c r="Y12" s="13" t="str">
        <x:v>No — latent visual dynamics are predicted without pixel reconstruction</x:v>
      </x:c>
      <x:c r="Z12" s="13" t="str">
        <x:v>Yes</x:v>
      </x:c>
      <x:c r="AA12" s="13" t="str">
        <x:v>MPC; Cross-Entropy Method</x:v>
      </x:c>
      <x:c r="AB12" s="13" t="str">
        <x:v>Latent</x:v>
      </x:c>
      <x:c r="AC12" s="13" t="str">
        <x:v>Medium</x:v>
      </x:c>
      <x:c r="AD12" s="13" t="str">
        <x:v>Task-dependent action sequences are optimized with receding-horizon MPC; Push-T goals are selected to be feasible within 25 steps, and no high-level task decomposition is used.</x:v>
      </x:c>
      <x:c r="AE12" s="13" t="str">
        <x:v>No</x:v>
      </x:c>
      <x:c r="AF12" s="13" t="str">
        <x:v>Yes</x:v>
      </x:c>
      <x:c r="AG12" s="13" t="str">
        <x:v>Full End-to-End Planner</x:v>
      </x:c>
      <x:c r="AH12" s="13" t="str">
        <x:v>Offline Self-Supervised World-Model Learning</x:v>
      </x:c>
      <x:c r="AI12" s="13" t="str">
        <x:v>None — actions are optimized at test time</x:v>
      </x:c>
      <x:c r="AJ12" s="13" t="str">
        <x:v>Yes — frozen DINOv2 visual encoder</x:v>
      </x:c>
      <x:c r="AK12" s="13" t="str">
        <x:v>RGB</x:v>
      </x:c>
      <x:c r="AL12" s="13" t="str">
        <x:v>Goal image / target observation</x:v>
      </x:c>
      <x:c r="AM12" s="13" t="str">
        <x:v>Continuous; environment-dependent</x:v>
      </x:c>
      <x:c r="AN12" s="13" t="str">
        <x:v>Maze / PointMaze; Wall; Reach; Push-T; Rope Manipulation; Granular Manipulation</x:v>
      </x:c>
      <x:c r="AO12" s="13" t="str">
        <x:v>Simulation agents; XArm for Rope and Granular environments</x:v>
      </x:c>
      <x:c r="AP12" s="13" t="str">
        <x:v>Yes</x:v>
      </x:c>
      <x:c r="AQ12" s="13" t="str">
        <x:v>No</x:v>
      </x:c>
      <x:c r="AR12" s="13" t="str">
        <x:v>Learns task-agnostic offline visual dynamics in pretrained DINOv2 feature space and solves unseen visual goals through test-time action optimization.</x:v>
      </x:c>
      <x:c r="AS12" s="13" t="str">
        <x:v>Eliminates pixel reconstruction and task-specific rewards or policies while retaining spatial patch structure suitable for zero-shot MPC.</x:v>
      </x:c>
      <x:c r="AT12" s="13" t="str">
        <x:v>Requires offline state-action datasets with sufficient coverage and ground-truth actions; evaluations are simulated and action-space MPC does not provide hierarchical task reasoning.</x:v>
      </x:c>
      <x:c r="AU12" s="13" t="str">
        <x:v>Combine with exploration and online updates, learn from unlabelled internet video without ground-truth actions, regularize planning objectives, and integrate high-level planning with low-level control.</x:v>
      </x:c>
      <x:c r="AV12" s="13" t="str">
        <x:v>The action-conditioned transition model autoregressively predicts future DINOv2 patch embeddings from observation and action histories.</x:v>
      </x:c>
      <x:c r="AW12" s="13" t="str">
        <x:v>CEM optimizes action sequences against latent goal error and MPC repeatedly replans from new observations.</x:v>
      </x:c>
      <x:c r="AX12" s="13" t="str">
        <x:v>The evaluated behavior is multi-step visual goal reaching, including Push-T targets feasible within 25 steps, rather than long-horizon symbolic or skill-level task planning.</x:v>
      </x:c>
      <x:c r="AY12" s="13" t="str">
        <x:v>High</x:v>
      </x:c>
      <x:c r="AZ12" s="13" t="str">
        <x:v>Core world-model and explicit-planning paper. Record year as 2024 under the first-public-appearance rule, despite its ICML 2025 publication.</x:v>
      </x:c>
      <x:c r="BA12" s="13" t="str">
        <x:v>DINO-WM_ World Models on Pre-trained Visual Features enable Zero-shot Planning.txt</x:v>
      </x:c>
    </x:row>
    <x:row r="13">
      <x:c r="A13" s="13" t="str">
        <x:v>batch_03</x:v>
      </x:c>
      <x:c r="B13" s="13" t="str">
        <x:v>B03-002</x:v>
      </x:c>
      <x:c r="C13" s="13" t="str">
        <x:v>Dream-Tac: A Unified Tactile World Action Model for Contact-Rich Robot Manipulation</x:v>
      </x:c>
      <x:c r="D13" s="13" t="str">
        <x:v>Yunfan Lou; Yifan Ye; Yankai Fu; Jun Cen; Xiaowei Chi; Yaoxu Lyu; Peidong Jia; Sirui Han; Zhihe Lu; Shanghang Zhang</x:v>
      </x:c>
      <x:c r="E13" s="13" t="n">
        <x:v>2026</x:v>
      </x:c>
      <x:c r="F13" s="13" t="str">
        <x:v>First public appearance: arXiv:2606.08737 on 7 Jun 2026</x:v>
      </x:c>
      <x:c r="G13" s="13" t="str">
        <x:v>arXiv</x:v>
      </x:c>
      <x:c r="H13" s="13" t="str">
        <x:v>Preprint</x:v>
      </x:c>
      <x:c r="I13" s="13" t="str">
        <x:v>Method</x:v>
      </x:c>
      <x:c r="J13" s="13" t="str"/>
      <x:c r="K13" s="13" t="str">
        <x:v>arXiv:2606.08737</x:v>
      </x:c>
      <x:c r="L13" s="13" t="str">
        <x:v>Yes</x:v>
      </x:c>
      <x:c r="M13" s="13" t="str">
        <x:v>Code repository is released by the authors.</x:v>
      </x:c>
      <x:c r="N13" s="13" t="str">
        <x:v>Contact-Rich Manipulation</x:v>
      </x:c>
      <x:c r="O13" s="13" t="str">
        <x:v>Policy Learning; World Action Modeling; Visuo-Tactile Prediction</x:v>
      </x:c>
      <x:c r="P13" s="13" t="str">
        <x:v>No</x:v>
      </x:c>
      <x:c r="Q13" s="13" t="str">
        <x:v>Yes</x:v>
      </x:c>
      <x:c r="R13" s="13" t="str">
        <x:v>No</x:v>
      </x:c>
      <x:c r="S13" s="13" t="str">
        <x:v>Yes</x:v>
      </x:c>
      <x:c r="T13" s="13" t="str">
        <x:v>Diffusion</x:v>
      </x:c>
      <x:c r="U13" s="13" t="str">
        <x:v>Pretrained video Diffusion Transformer with a shared visual, tactile, robot-state, and action latent space plus contact-aware self-attention.</x:v>
      </x:c>
      <x:c r="V13" s="13" t="str">
        <x:v>Hybrid Latent</x:v>
      </x:c>
      <x:c r="W13" s="13" t="str">
        <x:v>Future visual observations; future tactile observations; 20-step action chunk</x:v>
      </x:c>
      <x:c r="X13" s="13" t="str">
        <x:v>Yes — actions and future observations are jointly generated</x:v>
      </x:c>
      <x:c r="Y13" s="13" t="str">
        <x:v>Yes</x:v>
      </x:c>
      <x:c r="Z13" s="13" t="str">
        <x:v>No</x:v>
      </x:c>
      <x:c r="AA13" s="13" t="str">
        <x:v>None — unified generative policy without MPC, search, or trajectory optimization</x:v>
      </x:c>
      <x:c r="AB13" s="13" t="str">
        <x:v>N/A</x:v>
      </x:c>
      <x:c r="AC13" s="13" t="str">
        <x:v>None</x:v>
      </x:c>
      <x:c r="AD13" s="13" t="str">
        <x:v>The model directly generates a fixed 20-step action chunk; this is policy horizon rather than an explicit planning horizon.</x:v>
      </x:c>
      <x:c r="AE13" s="13" t="str">
        <x:v>No</x:v>
      </x:c>
      <x:c r="AF13" s="13" t="str">
        <x:v>Yes — action chunks are refreshed during closed-loop execution</x:v>
      </x:c>
      <x:c r="AG13" s="13" t="str">
        <x:v>Local Controller</x:v>
      </x:c>
      <x:c r="AH13" s="13" t="str">
        <x:v>Imitation Learning; Foundation-Model Fine-Tuning</x:v>
      </x:c>
      <x:c r="AI13" s="13" t="str">
        <x:v>World Action Model; Diffusion Policy</x:v>
      </x:c>
      <x:c r="AJ13" s="13" t="str">
        <x:v>Yes — pretrained video DiT, T5 encoder, and video VAE</x:v>
      </x:c>
      <x:c r="AK13" s="13" t="str">
        <x:v>Multimodal: third-person RGB; wrist RGB; dual tactile RGB; robot state</x:v>
      </x:c>
      <x:c r="AL13" s="13" t="str">
        <x:v>Language instruction</x:v>
      </x:c>
      <x:c r="AM13" s="13" t="str">
        <x:v>Continuous action chunks</x:v>
      </x:c>
      <x:c r="AN13" s="13" t="str">
        <x:v>Six custom real-world tasks: Pick Baguette; Insert USB; Clean Whiteboard; Cut Banana; Peel Cucumber; Play Mahjong</x:v>
      </x:c>
      <x:c r="AO13" s="13" t="str">
        <x:v>Franka Emika Panda with RealSense D435i cameras and Xense Photon tactile sensors</x:v>
      </x:c>
      <x:c r="AP13" s="13" t="str">
        <x:v>No</x:v>
      </x:c>
      <x:c r="AQ13" s="13" t="str">
        <x:v>Yes</x:v>
      </x:c>
      <x:c r="AR13" s="13" t="str">
        <x:v>Jointly predicts actions, future visual observations, and future tactile dynamics to improve contact-rich manipulation.</x:v>
      </x:c>
      <x:c r="AS13" s="13" t="str">
        <x:v>Introduces contact-gated visuo-tactile fusion, a contact-aware attention bias, and diffusion-step caching for faster real-time inference.</x:v>
      </x:c>
      <x:c r="AT13" s="13" t="str">
        <x:v>Evaluated on a limited task and object set; the simple frame-difference contact gate may miss subtle or long-horizon interactions; diffusion inference remains expensive relative to lightweight reactive policies.</x:v>
      </x:c>
      <x:c r="AU13" s="13" t="str">
        <x:v>Scale visuo-tactile data, develop richer contact models, improve real-time efficiency, and extend to dexterous, deformable, multi-stage, and long-horizon contact-rich tasks.</x:v>
      </x:c>
      <x:c r="AV13" s="13" t="str">
        <x:v>The shared diffusion model denoises future image, future tactile, and action tokens together in one latent sequence.</x:v>
      </x:c>
      <x:c r="AW13" s="13" t="str">
        <x:v>No separate planner is used; generated action chunks are executed as a closed-loop policy.</x:v>
      </x:c>
      <x:c r="AX13" s="13" t="str">
        <x:v>The action chunk is H=20, but the evaluated tasks are individual contact-rich skills rather than long-horizon task plans.</x:v>
      </x:c>
      <x:c r="AY13" s="13" t="str">
        <x:v>High</x:v>
      </x:c>
      <x:c r="AZ13" s="13" t="str">
        <x:v>Core world-action-model paper, but exclude from explicit planner-frequency counts.</x:v>
      </x:c>
      <x:c r="BA13" s="13" t="str">
        <x:v>Dream-Tac_ A Unified Tactile World Action Model for Contact-Rich Robot Manipulation.txt</x:v>
      </x:c>
    </x:row>
    <x:row r="14">
      <x:c r="A14" s="13" t="str">
        <x:v>batch_03</x:v>
      </x:c>
      <x:c r="B14" s="13" t="str">
        <x:v>B03-003</x:v>
      </x:c>
      <x:c r="C14" s="13" t="str">
        <x:v>DynaWM: A Base-VLA-Guided World Foundation Model for Moving-Object Manipulation</x:v>
      </x:c>
      <x:c r="D14" s="13" t="str">
        <x:v>Chongkei Chang; Zhidong Deng</x:v>
      </x:c>
      <x:c r="E14" s="13" t="n">
        <x:v>2026</x:v>
      </x:c>
      <x:c r="F14" s="13" t="str">
        <x:v>First public appearance: arXiv:2607.02604 on 1 Jul 2026</x:v>
      </x:c>
      <x:c r="G14" s="13" t="str">
        <x:v>arXiv</x:v>
      </x:c>
      <x:c r="H14" s="13" t="str">
        <x:v>Preprint</x:v>
      </x:c>
      <x:c r="I14" s="13" t="str">
        <x:v>Method</x:v>
      </x:c>
      <x:c r="J14" s="13" t="str"/>
      <x:c r="K14" s="13" t="str">
        <x:v>arXiv:2607.02604</x:v>
      </x:c>
      <x:c r="L14" s="13" t="str">
        <x:v>Unknown</x:v>
      </x:c>
      <x:c r="M14" s="13" t="str">
        <x:v>No code or model repository was identified in the supplied manuscript.</x:v>
      </x:c>
      <x:c r="N14" s="13" t="str">
        <x:v>Dynamic Moving-Object Manipulation</x:v>
      </x:c>
      <x:c r="O14" s="13" t="str">
        <x:v>Policy Learning; Dynamic Action Refinement; Benchmark and Dataset</x:v>
      </x:c>
      <x:c r="P14" s="13" t="str">
        <x:v>No</x:v>
      </x:c>
      <x:c r="Q14" s="13" t="str">
        <x:v>Yes — inherited through the frozen base VLA</x:v>
      </x:c>
      <x:c r="R14" s="13" t="str">
        <x:v>No</x:v>
      </x:c>
      <x:c r="S14" s="13" t="str">
        <x:v>Ambiguous</x:v>
      </x:c>
      <x:c r="T14" s="13" t="str">
        <x:v>Diffusion</x:v>
      </x:c>
      <x:c r="U14" s="13" t="str">
        <x:v>A V-JEPA 2.1 history encoder, Mamba-3 base-action encoder, state encoder, and flow-matching DiT regenerate action chunks; the method does not explicitly roll out future observations or states.</x:v>
      </x:c>
      <x:c r="V14" s="13" t="str">
        <x:v>Action Trajectory</x:v>
      </x:c>
      <x:c r="W14" s="13" t="str">
        <x:v>Regenerated 10-step, 7D action chunk</x:v>
      </x:c>
      <x:c r="X14" s="13" t="str">
        <x:v>Yes — conditioned on the frozen base VLA action chunk</x:v>
      </x:c>
      <x:c r="Y14" s="13" t="str">
        <x:v>No</x:v>
      </x:c>
      <x:c r="Z14" s="13" t="str">
        <x:v>No</x:v>
      </x:c>
      <x:c r="AA14" s="13" t="str">
        <x:v>None — closed-loop action regeneration without search or model rollout</x:v>
      </x:c>
      <x:c r="AB14" s="13" t="str">
        <x:v>N/A</x:v>
      </x:c>
      <x:c r="AC14" s="13" t="str">
        <x:v>None</x:v>
      </x:c>
      <x:c r="AD14" s="13" t="str">
        <x:v>DynaWM regenerates a 10-step action chunk; the paper calls this a short-horizon signal rather than an explicit plan.</x:v>
      </x:c>
      <x:c r="AE14" s="13" t="str">
        <x:v>No</x:v>
      </x:c>
      <x:c r="AF14" s="13" t="str">
        <x:v>Yes — chunks are regenerated using the latest multi-view history</x:v>
      </x:c>
      <x:c r="AG14" s="13" t="str">
        <x:v>Local Controller</x:v>
      </x:c>
      <x:c r="AH14" s="13" t="str">
        <x:v>Supervised Imitation Learning; Flow Matching; VLA Post-Processing</x:v>
      </x:c>
      <x:c r="AI14" s="13" t="str">
        <x:v>VLA Augmentation; Flow-Matching Action Generator</x:v>
      </x:c>
      <x:c r="AJ14" s="13" t="str">
        <x:v>Yes — frozen base VLA and V-JEPA 2.1 encoder</x:v>
      </x:c>
      <x:c r="AK14" s="13" t="str">
        <x:v>Three RGB views over five frames; 9D robot state; base VLA action chunk</x:v>
      </x:c>
      <x:c r="AL14" s="13" t="str">
        <x:v>Language instruction or subtask processed by the base VLA</x:v>
      </x:c>
      <x:c r="AM14" s="13" t="str">
        <x:v>Continuous 7D; 10-step chunks</x:v>
      </x:c>
      <x:c r="AN14" s="13" t="str">
        <x:v>DynaGrasp-32; DynaGrasp-1600</x:v>
      </x:c>
      <x:c r="AO14" s="13" t="str">
        <x:v>Franka Panda in Isaac Sim</x:v>
      </x:c>
      <x:c r="AP14" s="13" t="str">
        <x:v>Yes</x:v>
      </x:c>
      <x:c r="AQ14" s="13" t="str">
        <x:v>No</x:v>
      </x:c>
      <x:c r="AR14" s="13" t="str">
        <x:v>Adds a policy-agnostic action-regeneration module that uses recent motion evidence to correct frozen VLA action chunks for moving-target interception.</x:v>
      </x:c>
      <x:c r="AS14" s="13" t="str">
        <x:v>Uses the physical action trajectory as a common interface across heterogeneous VLA architectures and introduces a dedicated moving-object benchmark and dataset.</x:v>
      </x:c>
      <x:c r="AT14" s="13" t="str">
        <x:v>Inferred from the study design: evaluation is simulation-only, depends on base-VLA proposals, uses short 10-step chunks, and does not explicitly predict or roll out future environment states.</x:v>
      </x:c>
      <x:c r="AU14" s="13" t="str">
        <x:v>Not explicitly stated in the supplied manuscript.</x:v>
      </x:c>
      <x:c r="AV14" s="13" t="str">
        <x:v>The paper names the module a world foundation model, but its learned target is an action trajectory and V-JEPA supplies observed-history features rather than future rollouts.</x:v>
      </x:c>
      <x:c r="AW14" s="13" t="str">
        <x:v>The DiT directly regenerates an action chunk for execution; no MPC, search, or trajectory-scoring procedure is described.</x:v>
      </x:c>
      <x:c r="AX14" s="13" t="str">
        <x:v>The implemented horizon is H=10, explicitly described as short-horizon action conditioning.</x:v>
      </x:c>
      <x:c r="AY14" s="13" t="str">
        <x:v>High</x:v>
      </x:c>
      <x:c r="AZ14" s="13" t="str">
        <x:v>Definition-sensitive entry: classify as Ambiguous under the strict predictive-environment-model rule. Include in world-action/predictive-policy analyses, but separate from rollout-based world models.</x:v>
      </x:c>
      <x:c r="BA14" s="13" t="str">
        <x:v>DynaWM_ A Base-VLA-Guided World Foundation Model for Moving-Object Manipulation.txt</x:v>
      </x:c>
    </x:row>
    <x:row r="15">
      <x:c r="A15" s="13" t="str">
        <x:v>batch_03</x:v>
      </x:c>
      <x:c r="B15" s="13" t="str">
        <x:v>B03-004</x:v>
      </x:c>
      <x:c r="C15" s="13" t="str">
        <x:v>Embodied AI: From LLMs to World Models</x:v>
      </x:c>
      <x:c r="D15" s="13" t="str">
        <x:v>Tongtong Feng; Xin Wang; Yu-Gang Jiang; Wenwu Zhu</x:v>
      </x:c>
      <x:c r="E15" s="13" t="n">
        <x:v>2025</x:v>
      </x:c>
      <x:c r="F15" s="13" t="str">
        <x:v>First public appearance: TechRxiv on 6 Oct 2025</x:v>
      </x:c>
      <x:c r="G15" s="13" t="str">
        <x:v>TechRxiv / IEEE Circuits and Systems Magazine manuscript</x:v>
      </x:c>
      <x:c r="H15" s="13" t="str">
        <x:v>Preprint; invited survey manuscript</x:v>
      </x:c>
      <x:c r="I15" s="13" t="str">
        <x:v>Survey</x:v>
      </x:c>
      <x:c r="J15" s="13" t="str"/>
      <x:c r="K15" s="13" t="str">
        <x:v>10.36227/techrxiv.175977432.27129012/v1</x:v>
      </x:c>
      <x:c r="L15" s="13" t="str">
        <x:v>Unknown</x:v>
      </x:c>
      <x:c r="M15" s="13" t="str">
        <x:v>No companion code or curated repository was identified in the supplied manuscript.</x:v>
      </x:c>
      <x:c r="N15" s="13" t="str">
        <x:v>General Robotics; Embodied AI</x:v>
      </x:c>
      <x:c r="O15" s="13" t="str">
        <x:v>Survey; Multimodal LLMs; World Models; Embodied Systems</x:v>
      </x:c>
      <x:c r="P15" s="13" t="str">
        <x:v>N/A — survey discusses long-horizon autonomy and task decomposition</x:v>
      </x:c>
      <x:c r="Q15" s="13" t="str">
        <x:v>N/A — language-based systems are a central topic</x:v>
      </x:c>
      <x:c r="R15" s="13" t="str">
        <x:v>N/A — multiple embodied interaction scenarios are reviewed</x:v>
      </x:c>
      <x:c r="S15" s="13" t="str">
        <x:v>N/A — survey reviews multiple world-model paradigms</x:v>
      </x:c>
      <x:c r="T15" s="13" t="str">
        <x:v>N/A — RSSM, JEPA, Transformer, and generative world models reviewed</x:v>
      </x:c>
      <x:c r="U15" s="13" t="str">
        <x:v>Contrasts MLLM semantic reasoning and decomposition with WM physical prediction, then proposes a joint MLLM-WM embodied-AI architecture.</x:v>
      </x:c>
      <x:c r="V15" s="13" t="str">
        <x:v>N/A</x:v>
      </x:c>
      <x:c r="W15" s="13" t="str">
        <x:v>N/A</x:v>
      </x:c>
      <x:c r="X15" s="13" t="str">
        <x:v>N/A</x:v>
      </x:c>
      <x:c r="Y15" s="13" t="str">
        <x:v>N/A</x:v>
      </x:c>
      <x:c r="Z15" s="13" t="str">
        <x:v>N/A — multiple task-decomposition and imagination-based approaches reviewed</x:v>
      </x:c>
      <x:c r="AA15" s="13" t="str">
        <x:v>N/A</x:v>
      </x:c>
      <x:c r="AB15" s="13" t="str">
        <x:v>N/A</x:v>
      </x:c>
      <x:c r="AC15" s="13" t="str">
        <x:v>N/A</x:v>
      </x:c>
      <x:c r="AD15" s="13" t="str">
        <x:v>Long-term autonomous operation, temporally extended instructions, and multi-horizon prediction are reviewed as field-level challenges.</x:v>
      </x:c>
      <x:c r="AE15" s="13" t="str">
        <x:v>N/A</x:v>
      </x:c>
      <x:c r="AF15" s="13" t="str">
        <x:v>N/A</x:v>
      </x:c>
      <x:c r="AG15" s="13" t="str">
        <x:v>N/A</x:v>
      </x:c>
      <x:c r="AH15" s="13" t="str">
        <x:v>N/A</x:v>
      </x:c>
      <x:c r="AI15" s="13" t="str">
        <x:v>N/A</x:v>
      </x:c>
      <x:c r="AJ15" s="13" t="str">
        <x:v>N/A</x:v>
      </x:c>
      <x:c r="AK15" s="13" t="str">
        <x:v>Multiple: vision; language; audio; tactile; robot state</x:v>
      </x:c>
      <x:c r="AL15" s="13" t="str">
        <x:v>Multiple</x:v>
      </x:c>
      <x:c r="AM15" s="13" t="str">
        <x:v>Multiple</x:v>
      </x:c>
      <x:c r="AN15" s="13" t="str">
        <x:v>Multiple embodied-AI benchmarks and metrics</x:v>
      </x:c>
      <x:c r="AO15" s="13" t="str">
        <x:v>Multiple</x:v>
      </x:c>
      <x:c r="AP15" s="13" t="str">
        <x:v>Both / Survey</x:v>
      </x:c>
      <x:c r="AQ15" s="13" t="str">
        <x:v>Both / Survey</x:v>
      </x:c>
      <x:c r="AR15" s="13" t="str">
        <x:v>Reviews embodied AI from foundational components through LLM/MLLM-driven and WM-driven systems and argues for their integration.</x:v>
      </x:c>
      <x:c r="AS15" s="13" t="str">
        <x:v>Frames MLLMs and world models as complementary modules: semantic task reasoning from MLLMs and physically grounded prediction from world models.</x:v>
      </x:c>
      <x:c r="AT15" s="13" t="str">
        <x:v>MLLMs lack reliable physical grounding and real-time adaptation, while world models lack open-ended semantics and generalizable task decomposition; deployment is also constrained by hardware, energy, safety, and trustworthiness.</x:v>
      </x:c>
      <x:c r="AU15" s="13" t="str">
        <x:v>Advance autonomous long-duration agents, adaptive multimodal perception, joint real-time MLLM-WM control, hardware-software co-design, collaborative world models for swarms, lifelong learning, and trustworthy deployment.</x:v>
      </x:c>
      <x:c r="AV15" s="13" t="str">
        <x:v>The survey categorizes RSSM-, JEPA-, and Transformer-based world models and emphasizes internal representations and future prediction.</x:v>
      </x:c>
      <x:c r="AW15" s="13" t="str">
        <x:v>LLMs are described as task decomposers, while world models support imagination-based and anticipatory decision making.</x:v>
      </x:c>
      <x:c r="AX15" s="13" t="str">
        <x:v>The proposed research agenda explicitly targets long-duration autonomous operation, spatiotemporal memory, and prediction across multiple horizons.</x:v>
      </x:c>
      <x:c r="AY15" s="13" t="str">
        <x:v>High</x:v>
      </x:c>
      <x:c r="AZ15" s="13" t="str">
        <x:v>Exclude from method-only counts; retain for taxonomy, conceptual framing, and gap-analysis sections.</x:v>
      </x:c>
      <x:c r="BA15" s="13" t="str">
        <x:v>Embodied AI_From LLMs to World Models.txt</x:v>
      </x:c>
    </x:row>
    <x:row r="16">
      <x:c r="A16" s="13" t="str">
        <x:v>batch_03</x:v>
      </x:c>
      <x:c r="B16" s="13" t="str">
        <x:v>B03-005</x:v>
      </x:c>
      <x:c r="C16" s="13" t="str">
        <x:v>EmbodiSwap for Zero-Shot Robot Imitation Learning</x:v>
      </x:c>
      <x:c r="D16" s="13" t="str">
        <x:v>Eadom Dessalene; Pavan Mantripragada; Michael Maynord; Yiannis Aloimonos</x:v>
      </x:c>
      <x:c r="E16" s="13" t="n">
        <x:v>2025</x:v>
      </x:c>
      <x:c r="F16" s="13" t="str">
        <x:v>First public appearance: arXiv:2510.03706 on 4 Oct 2025</x:v>
      </x:c>
      <x:c r="G16" s="13" t="str">
        <x:v>arXiv</x:v>
      </x:c>
      <x:c r="H16" s="13" t="str">
        <x:v>Preprint</x:v>
      </x:c>
      <x:c r="I16" s="13" t="str">
        <x:v>Method</x:v>
      </x:c>
      <x:c r="J16" s="13" t="str"/>
      <x:c r="K16" s="13" t="str">
        <x:v>arXiv:2510.03706</x:v>
      </x:c>
      <x:c r="L16" s="13" t="str">
        <x:v>Yes</x:v>
      </x:c>
      <x:c r="M16" s="13" t="str">
        <x:v>The authors release the overlay-generation code, synthetic dataset, model checkpoints, and inference code.</x:v>
      </x:c>
      <x:c r="N16" s="13" t="str">
        <x:v>Manipulation; Imitation Learning</x:v>
      </x:c>
      <x:c r="O16" s="13" t="str">
        <x:v>Imitation Learning; Data Generation; Cross-Embodiment Transfer</x:v>
      </x:c>
      <x:c r="P16" s="13" t="str">
        <x:v>No</x:v>
      </x:c>
      <x:c r="Q16" s="13" t="str">
        <x:v>No</x:v>
      </x:c>
      <x:c r="R16" s="13" t="str">
        <x:v>No</x:v>
      </x:c>
      <x:c r="S16" s="13" t="str">
        <x:v>No</x:v>
      </x:c>
      <x:c r="T16" s="13" t="str">
        <x:v>None</x:v>
      </x:c>
      <x:c r="U16" s="13" t="str">
        <x:v>V-JEPA is used as a pretrained video-predictive visual backbone, but the downstream method predicts end-effector motion rather than environment dynamics.</x:v>
      </x:c>
      <x:c r="V16" s="13" t="str">
        <x:v>N/A</x:v>
      </x:c>
      <x:c r="W16" s="13" t="str">
        <x:v>Future relative 3D end-effector transform</x:v>
      </x:c>
      <x:c r="X16" s="13" t="str">
        <x:v>No</x:v>
      </x:c>
      <x:c r="Y16" s="13" t="str">
        <x:v>No — the downstream output is an end-effector trajectory</x:v>
      </x:c>
      <x:c r="Z16" s="13" t="str">
        <x:v>No</x:v>
      </x:c>
      <x:c r="AA16" s="13" t="str">
        <x:v>None</x:v>
      </x:c>
      <x:c r="AB16" s="13" t="str">
        <x:v>N/A</x:v>
      </x:c>
      <x:c r="AC16" s="13" t="str">
        <x:v>None</x:v>
      </x:c>
      <x:c r="AD16" s="13" t="str">
        <x:v>The closed-loop policy repeatedly predicts a future end-effector transform for five individual skills; it does not optimize a multi-step plan.</x:v>
      </x:c>
      <x:c r="AE16" s="13" t="str">
        <x:v>No</x:v>
      </x:c>
      <x:c r="AF16" s="13" t="str">
        <x:v>Yes — the policy predicts a new command from each updated observation</x:v>
      </x:c>
      <x:c r="AG16" s="13" t="str">
        <x:v>Local Controller</x:v>
      </x:c>
      <x:c r="AH16" s="13" t="str">
        <x:v>Imitation Learning; Self-Supervised Video Pretraining; Synthetic Data Generation</x:v>
      </x:c>
      <x:c r="AI16" s="13" t="str">
        <x:v>Transformer Visuomotor Policy</x:v>
      </x:c>
      <x:c r="AJ16" s="13" t="str">
        <x:v>Yes — pretrained V-JEPA encoder and predictor</x:v>
      </x:c>
      <x:c r="AK16" s="13" t="str">
        <x:v>RGB; optional proprioception and action-location tokens</x:v>
      </x:c>
      <x:c r="AL16" s="13" t="str">
        <x:v>Implicit action category learned from segmented human-video demonstrations</x:v>
      </x:c>
      <x:c r="AM16" s="13" t="str">
        <x:v>Continuous relative 6D end-effector transform</x:v>
      </x:c>
      <x:c r="AN16" s="13" t="str">
        <x:v>EPIC-Kitchens; HOI4D; Ego4D synthetic overlays; custom real-world Open, Close, Pour, Place, and Cut tasks</x:v>
      </x:c>
      <x:c r="AO16" s="13" t="str">
        <x:v>UR10 with Robotiq gripper</x:v>
      </x:c>
      <x:c r="AP16" s="13" t="str">
        <x:v>No — synthetic video compositing is used instead of a physics simulator</x:v>
      </x:c>
      <x:c r="AQ16" s="13" t="str">
        <x:v>Yes</x:v>
      </x:c>
      <x:c r="AR16" s="13" t="str">
        <x:v>Creates photorealistic robot overlays on in-the-wild human video and trains a zero-shot closed-loop manipulation policy using V-JEPA features.</x:v>
      </x:c>
      <x:c r="AS16" s="13" t="str">
        <x:v>Bridges the human-to-robot embodiment gap through video editing and demonstrates that V-JEPA feature-prediction pretraining transfers strongly to robot trajectory forecasting.</x:v>
      </x:c>
      <x:c r="AT16" s="13" t="str">
        <x:v>Failures arise from robot joint singularities, self-occlusion, and visually plausible but physically unsuccessful trajectories; the method also lacks explicit 3D object reasoning and high-level task composition.</x:v>
      </x:c>
      <x:c r="AU16" s="13" t="str">
        <x:v>Predict in joint space, use multiple camera perspectives, incorporate 3D object models for in-hand manipulation, and compose learned skills within higher-level cognitive frameworks.</x:v>
      </x:c>
      <x:c r="AV16" s="13" t="str">
        <x:v>The pretrained V-JEPA predictor provides visual features, but the trained task head forecasts robot motion rather than future environment states.</x:v>
      </x:c>
      <x:c r="AW16" s="13" t="str">
        <x:v>At each closed-loop step, the policy directly emits a relative end-effector command without search or imagined trajectory evaluation.</x:v>
      </x:c>
      <x:c r="AX16" s="13" t="str">
        <x:v>Evaluation covers five single manipulation skills and does not include multi-stage or long-horizon task decomposition.</x:v>
      </x:c>
      <x:c r="AY16" s="13" t="str">
        <x:v>High</x:v>
      </x:c>
      <x:c r="AZ16" s="13" t="str">
        <x:v>JEPA-related but not a JEPA world-model method under the strict taxonomy; include in representation-transfer and imitation-learning analyses.</x:v>
      </x:c>
      <x:c r="BA16" s="13" t="str">
        <x:v>EmbodiSwap for Zero-Shot Robot Imitation Learning.txt</x:v>
      </x:c>
    </x:row>
    <x:row r="17">
      <x:c r="A17" s="13" t="str">
        <x:v>batch_04</x:v>
      </x:c>
      <x:c r="B17" s="13" t="str">
        <x:v>B04-001</x:v>
      </x:c>
      <x:c r="C17" s="13" t="str">
        <x:v>Enhancing the LLM-Based Robot Manipulation Through Human-Robot Collaboration</x:v>
      </x:c>
      <x:c r="D17" s="13" t="str">
        <x:v>Haokun Liu; Yaonan Zhu; Kenji Kato; Atsushi Tsukahara; Izumi Kondo; Tadayoshi Aoyama; Yasuhisa Hasegawa</x:v>
      </x:c>
      <x:c r="E17" s="13" t="n">
        <x:v>2024</x:v>
      </x:c>
      <x:c r="F17" s="13" t="str">
        <x:v>First public appearance: arXiv:2406.14097 in June 2024; IEEE RA-L publication in August 2024</x:v>
      </x:c>
      <x:c r="G17" s="13" t="str">
        <x:v>IEEE Robotics and Automation Letters</x:v>
      </x:c>
      <x:c r="H17" s="13" t="str">
        <x:v>Peer-reviewed journal article</x:v>
      </x:c>
      <x:c r="I17" s="13" t="str">
        <x:v>Method</x:v>
      </x:c>
      <x:c r="J17" s="13" t="str"/>
      <x:c r="K17" s="13" t="str">
        <x:v>10.1109/LRA.2024.3415931; arXiv:2406.14097</x:v>
      </x:c>
      <x:c r="L17" s="13" t="str">
        <x:v>Unknown</x:v>
      </x:c>
      <x:c r="M17" s="13" t="str">
        <x:v>A multimedia demonstration is provided, but no code repository was identified in the supplied manuscript.</x:v>
      </x:c>
      <x:c r="N17" s="13" t="str">
        <x:v>Manipulation; Service Robotics; Human-Robot Collaboration</x:v>
      </x:c>
      <x:c r="O17" s="13" t="str">
        <x:v>Planning; Human-Robot Collaboration; Learning from Demonstration</x:v>
      </x:c>
      <x:c r="P17" s="13" t="str">
        <x:v>Yes</x:v>
      </x:c>
      <x:c r="Q17" s="13" t="str">
        <x:v>Yes</x:v>
      </x:c>
      <x:c r="R17" s="13" t="str">
        <x:v>Yes</x:v>
      </x:c>
      <x:c r="S17" s="13" t="str">
        <x:v>No</x:v>
      </x:c>
      <x:c r="T17" s="13" t="str">
        <x:v>None</x:v>
      </x:c>
      <x:c r="U17" s="13" t="str">
        <x:v>N/A — environment information is supplied by object detection and depth sensing rather than a learned predictive dynamics model.</x:v>
      </x:c>
      <x:c r="V17" s="13" t="str">
        <x:v>N/A</x:v>
      </x:c>
      <x:c r="W17" s="13" t="str">
        <x:v>N/A</x:v>
      </x:c>
      <x:c r="X17" s="13" t="str">
        <x:v>N/A</x:v>
      </x:c>
      <x:c r="Y17" s="13" t="str">
        <x:v>No</x:v>
      </x:c>
      <x:c r="Z17" s="13" t="str">
        <x:v>Yes</x:v>
      </x:c>
      <x:c r="AA17" s="13" t="str">
        <x:v>Language Planner; Hierarchical</x:v>
      </x:c>
      <x:c r="AB17" s="13" t="str">
        <x:v>Symbolic / Programmatic motion-function sequences</x:v>
      </x:c>
      <x:c r="AC17" s="13" t="str">
        <x:v>Long</x:v>
      </x:c>
      <x:c r="AD17" s="13" t="str">
        <x:v>GPT-4 classifies temporally extended tasks and decomposes them into subtasks, each containing multiple executable motion functions.</x:v>
      </x:c>
      <x:c r="AE17" s="13" t="str">
        <x:v>Yes</x:v>
      </x:c>
      <x:c r="AF17" s="13" t="str">
        <x:v>Yes — environment perception is refreshed between subtasks and failed skills can be replaced through human teleoperation</x:v>
      </x:c>
      <x:c r="AG17" s="13" t="str">
        <x:v>High-Level Planner</x:v>
      </x:c>
      <x:c r="AH17" s="13" t="str">
        <x:v>Prompting; Learning from Demonstration; Dynamic Movement Primitives</x:v>
      </x:c>
      <x:c r="AI17" s="13" t="str">
        <x:v>Skill Library; DMP</x:v>
      </x:c>
      <x:c r="AJ17" s="13" t="str">
        <x:v>Yes — GPT-4 and YOLOv5</x:v>
      </x:c>
      <x:c r="AK17" s="13" t="str">
        <x:v>Language; RGB-D; object detections and coordinates; teleoperation demonstrations</x:v>
      </x:c>
      <x:c r="AL17" s="13" t="str">
        <x:v>Natural-language instruction</x:v>
      </x:c>
      <x:c r="AM17" s="13" t="str">
        <x:v>Hybrid: discrete motion-function selection plus continuous DMP trajectories</x:v>
      </x:c>
      <x:c r="AN17" s="13" t="str">
        <x:v>Custom real-world tasks including cleaning a table, warming food, roasting food, and opening an oven or cabinet</x:v>
      </x:c>
      <x:c r="AO17" s="13" t="str">
        <x:v>Toyota Human Support Robot</x:v>
      </x:c>
      <x:c r="AP17" s="13" t="str">
        <x:v>No</x:v>
      </x:c>
      <x:c r="AQ17" s="13" t="str">
        <x:v>Yes</x:v>
      </x:c>
      <x:c r="AR17" s="13" t="str">
        <x:v>Combines GPT-4 hierarchical task decomposition, visual grounding, and human-taught DMP skills to execute complex real-world manipulation tasks.</x:v>
      </x:c>
      <x:c r="AS17" s="13" t="str">
        <x:v>Uses teleoperation not only for intervention but to create reusable trajectory skills that expand the LLM-accessible motion library.</x:v>
      </x:c>
      <x:c r="AT17" s="13" t="str">
        <x:v>Performance is sensitive to object-localization error, LLM token variability, incorrect DMP calls, human intervention requirements, and compounding subtask failures.</x:v>
      </x:c>
      <x:c r="AU17" s="13" t="str">
        <x:v>Integrate LiDAR point clouds and tactile sensing to improve real-world perception and manipulation reliability.</x:v>
      </x:c>
      <x:c r="AV17" s="13" t="str">
        <x:v>The system perceives current object locations with YOLOv5 and an RGB-D camera but does not predict future environmental states.</x:v>
      </x:c>
      <x:c r="AW17" s="13" t="str">
        <x:v>GPT-4 decomposes long-horizon commands into subtasks and then maps each subtask to executable motion functions.</x:v>
      </x:c>
      <x:c r="AX17" s="13" t="str">
        <x:v>The paper explicitly evaluates long-horizon tasks and notes that their success decreases through accumulated subtask errors.</x:v>
      </x:c>
      <x:c r="AY17" s="13" t="str">
        <x:v>High</x:v>
      </x:c>
      <x:c r="AZ17" s="13" t="str">
        <x:v>Core long-horizon language-planning and HRC paper; not a world-model method.</x:v>
      </x:c>
      <x:c r="BA17" s="13" t="str">
        <x:v>Enhancing the LLM-Based Robot Manipulation Through Human-Robot Collaboration.txt</x:v>
      </x:c>
    </x:row>
    <x:row r="18">
      <x:c r="A18" s="13" t="str">
        <x:v>batch_04</x:v>
      </x:c>
      <x:c r="B18" s="13" t="str">
        <x:v>B04-002</x:v>
      </x:c>
      <x:c r="C18" s="13" t="str">
        <x:v>Extended Tree Search for Robot Task and Motion Planning</x:v>
      </x:c>
      <x:c r="D18" s="13" t="str">
        <x:v>Tianyu Ren; Georgia Chalvatzaki; Jan Peters</x:v>
      </x:c>
      <x:c r="E18" s="13" t="n">
        <x:v>2021</x:v>
      </x:c>
      <x:c r="F18" s="13" t="str">
        <x:v>First public appearance: arXiv:2103.05456 in March 2021; supplied manuscript revision dated October 2021</x:v>
      </x:c>
      <x:c r="G18" s="13" t="str">
        <x:v>arXiv</x:v>
      </x:c>
      <x:c r="H18" s="13" t="str">
        <x:v>Preprint</x:v>
      </x:c>
      <x:c r="I18" s="13" t="str">
        <x:v>Method</x:v>
      </x:c>
      <x:c r="J18" s="13" t="str"/>
      <x:c r="K18" s="13" t="str">
        <x:v>arXiv:2103.05456</x:v>
      </x:c>
      <x:c r="L18" s="13" t="str">
        <x:v>Yes</x:v>
      </x:c>
      <x:c r="M18" s="13" t="str">
        <x:v>Code repository reported by the paper: https://github.com/ttianyuren/eTAMP</x:v>
      </x:c>
      <x:c r="N18" s="13" t="str">
        <x:v>Manipulation; Task and Motion Planning</x:v>
      </x:c>
      <x:c r="O18" s="13" t="str">
        <x:v>Planning; Integrated Task and Motion Planning</x:v>
      </x:c>
      <x:c r="P18" s="13" t="str">
        <x:v>Yes</x:v>
      </x:c>
      <x:c r="Q18" s="13" t="str">
        <x:v>No</x:v>
      </x:c>
      <x:c r="R18" s="13" t="str">
        <x:v>No</x:v>
      </x:c>
      <x:c r="S18" s="13" t="str">
        <x:v>No</x:v>
      </x:c>
      <x:c r="T18" s="13" t="str">
        <x:v>None</x:v>
      </x:c>
      <x:c r="U18" s="13" t="str">
        <x:v>N/A — planning uses explicit symbolic domain models and geometric simulation rather than learned dynamics.</x:v>
      </x:c>
      <x:c r="V18" s="13" t="str">
        <x:v>N/A</x:v>
      </x:c>
      <x:c r="W18" s="13" t="str">
        <x:v>N/A</x:v>
      </x:c>
      <x:c r="X18" s="13" t="str">
        <x:v>N/A</x:v>
      </x:c>
      <x:c r="Y18" s="13" t="str">
        <x:v>No</x:v>
      </x:c>
      <x:c r="Z18" s="13" t="str">
        <x:v>Yes</x:v>
      </x:c>
      <x:c r="AA18" s="13" t="str">
        <x:v>Tree Search; Hierarchical Task and Motion Planning</x:v>
      </x:c>
      <x:c r="AB18" s="13" t="str">
        <x:v>Hybrid: symbolic task skeletons plus continuous geometric motion bindings</x:v>
      </x:c>
      <x:c r="AC18" s="13" t="str">
        <x:v>Long</x:v>
      </x:c>
      <x:c r="AD18" s="13" t="str">
        <x:v>The planner jointly searches multi-stage symbolic operator sequences and all associated continuous motion parameters for task-level solutions.</x:v>
      </x:c>
      <x:c r="AE18" s="13" t="str">
        <x:v>Yes</x:v>
      </x:c>
      <x:c r="AF18" s="13" t="str">
        <x:v>No — plans are computed before execution in the evaluated framework</x:v>
      </x:c>
      <x:c r="AG18" s="13" t="str">
        <x:v>Full End-to-End Planner</x:v>
      </x:c>
      <x:c r="AH18" s="13" t="str">
        <x:v>None — search-based planning</x:v>
      </x:c>
      <x:c r="AI18" s="13" t="str">
        <x:v>None</x:v>
      </x:c>
      <x:c r="AJ18" s="13" t="str">
        <x:v>No</x:v>
      </x:c>
      <x:c r="AK18" s="13" t="str">
        <x:v>Structured symbolic and geometric environment state</x:v>
      </x:c>
      <x:c r="AL18" s="13" t="str">
        <x:v>Symbolic goal state</x:v>
      </x:c>
      <x:c r="AM18" s="13" t="str">
        <x:v>Hybrid: discrete operators and continuous motion-variable bindings</x:v>
      </x:c>
      <x:c r="AN18" s="13" t="str">
        <x:v>Kitchen; Hanoi Tower; Unpacking; Regrasping</x:v>
      </x:c>
      <x:c r="AO18" s="13" t="str">
        <x:v>7-DoF manipulator; PR2 arm; 10-DoF mobile manipulator in PyBullet</x:v>
      </x:c>
      <x:c r="AP18" s="13" t="str">
        <x:v>Yes</x:v>
      </x:c>
      <x:c r="AQ18" s="13" t="str">
        <x:v>No</x:v>
      </x:c>
      <x:c r="AR18" s="13" t="str">
        <x:v>Unifies top-k symbolic skeleton generation, skeleton selection, and continuous motion binding inside one extended MCTS decision tree.</x:v>
      </x:c>
      <x:c r="AS18" s="13" t="str">
        <x:v>Explicitly maintains diverse backup task skeletons and uses progressive-widening UCT to optimize exploration across both skeleton and motion spaces.</x:v>
      </x:c>
      <x:c r="AT18" s="13" t="str">
        <x:v>The experiments stop at the first feasible plan rather than optimizing final motion cost, top-k generation adds overhead on simple problems, and evaluation is simulation-only.</x:v>
      </x:c>
      <x:c r="AU18" s="13" t="str">
        <x:v>Not explicitly stated in the supplied manuscript.</x:v>
      </x:c>
      <x:c r="AV18" s="13" t="str">
        <x:v>The framework relies on PDDL-style task descriptions, streams, and PyBullet feasibility checks rather than a learned world model.</x:v>
      </x:c>
      <x:c r="AW18" s="13" t="str">
        <x:v>Top-k planning creates candidate symbolic skeletons, after which MCTS searches skeleton choices and continuous bindings in a common decision tree.</x:v>
      </x:c>
      <x:c r="AX18" s="13" t="str">
        <x:v>The benchmark domains require multi-stage symbolic decisions, including eight successive binding decisions in the Hanoi Tower task.</x:v>
      </x:c>
      <x:c r="AY18" s="13" t="str">
        <x:v>High</x:v>
      </x:c>
      <x:c r="AZ18" s="13" t="str">
        <x:v>Core classical long-horizon TAMP baseline; outside the learned-world-model family but highly relevant to planning comparisons.</x:v>
      </x:c>
      <x:c r="BA18" s="13" t="str">
        <x:v>Extended Tree Search for Robotic Task and Motion Planning.txt</x:v>
      </x:c>
    </x:row>
    <x:row r="19">
      <x:c r="A19" s="13" t="str">
        <x:v>batch_04</x:v>
      </x:c>
      <x:c r="B19" s="13" t="str">
        <x:v>B04-003</x:v>
      </x:c>
      <x:c r="C19" s="13" t="str">
        <x:v>Factor Graphs: Exploiting Structure in Robotics</x:v>
      </x:c>
      <x:c r="D19" s="13" t="str">
        <x:v>Frank Dellaert</x:v>
      </x:c>
      <x:c r="E19" s="13" t="n">
        <x:v>2021</x:v>
      </x:c>
      <x:c r="F19" s="13" t="str">
        <x:v>First published as a Review in Advance on 12 Jan 2021</x:v>
      </x:c>
      <x:c r="G19" s="13" t="str">
        <x:v>Annual Review of Control, Robotics, and Autonomous Systems</x:v>
      </x:c>
      <x:c r="H19" s="13" t="str">
        <x:v>Peer-reviewed review article</x:v>
      </x:c>
      <x:c r="I19" s="13" t="str">
        <x:v>Survey</x:v>
      </x:c>
      <x:c r="J19" s="13" t="str"/>
      <x:c r="K19" s="13" t="str">
        <x:v>10.1146/annurev-control-061520-010504</x:v>
      </x:c>
      <x:c r="L19" s="13" t="str">
        <x:v>Unknown</x:v>
      </x:c>
      <x:c r="M19" s="13" t="str">
        <x:v>No single companion codebase is associated with this broad review.</x:v>
      </x:c>
      <x:c r="N19" s="13" t="str">
        <x:v>General Robotics</x:v>
      </x:c>
      <x:c r="O19" s="13" t="str">
        <x:v>Survey; Estimation; Optimization; Planning; Optimal Control</x:v>
      </x:c>
      <x:c r="P19" s="13" t="str">
        <x:v>N/A</x:v>
      </x:c>
      <x:c r="Q19" s="13" t="str">
        <x:v>N/A</x:v>
      </x:c>
      <x:c r="R19" s="13" t="str">
        <x:v>N/A</x:v>
      </x:c>
      <x:c r="S19" s="13" t="str">
        <x:v>N/A — not focused on learned world models</x:v>
      </x:c>
      <x:c r="T19" s="13" t="str">
        <x:v>N/A</x:v>
      </x:c>
      <x:c r="U19" s="13" t="str">
        <x:v>Reviews factorized probabilistic and optimization representations for robotics rather than one learned predictive model.</x:v>
      </x:c>
      <x:c r="V19" s="13" t="str">
        <x:v>N/A</x:v>
      </x:c>
      <x:c r="W19" s="13" t="str">
        <x:v>N/A</x:v>
      </x:c>
      <x:c r="X19" s="13" t="str">
        <x:v>N/A</x:v>
      </x:c>
      <x:c r="Y19" s="13" t="str">
        <x:v>N/A</x:v>
      </x:c>
      <x:c r="Z19" s="13" t="str">
        <x:v>N/A — multiple planning and control applications are reviewed</x:v>
      </x:c>
      <x:c r="AA19" s="13" t="str">
        <x:v>N/A</x:v>
      </x:c>
      <x:c r="AB19" s="13" t="str">
        <x:v>Factor graph / graphical optimization</x:v>
      </x:c>
      <x:c r="AC19" s="13" t="str">
        <x:v>N/A</x:v>
      </x:c>
      <x:c r="AD19" s="13" t="str">
        <x:v>The review covers finite-horizon control, trajectory optimization, and motion planning but does not implement one normalized planner.</x:v>
      </x:c>
      <x:c r="AE19" s="13" t="str">
        <x:v>N/A</x:v>
      </x:c>
      <x:c r="AF19" s="13" t="str">
        <x:v>N/A</x:v>
      </x:c>
      <x:c r="AG19" s="13" t="str">
        <x:v>N/A</x:v>
      </x:c>
      <x:c r="AH19" s="13" t="str">
        <x:v>N/A</x:v>
      </x:c>
      <x:c r="AI19" s="13" t="str">
        <x:v>N/A</x:v>
      </x:c>
      <x:c r="AJ19" s="13" t="str">
        <x:v>N/A</x:v>
      </x:c>
      <x:c r="AK19" s="13" t="str">
        <x:v>Multiple</x:v>
      </x:c>
      <x:c r="AL19" s="13" t="str">
        <x:v>Multiple</x:v>
      </x:c>
      <x:c r="AM19" s="13" t="str">
        <x:v>Multiple</x:v>
      </x:c>
      <x:c r="AN19" s="13" t="str">
        <x:v>Multiple robotics applications including SLAM, tracking, optimal control, motion planning, and STEAP</x:v>
      </x:c>
      <x:c r="AO19" s="13" t="str">
        <x:v>Multiple</x:v>
      </x:c>
      <x:c r="AP19" s="13" t="str">
        <x:v>Both / Survey</x:v>
      </x:c>
      <x:c r="AQ19" s="13" t="str">
        <x:v>Both / Survey</x:v>
      </x:c>
      <x:c r="AR19" s="13" t="str">
        <x:v>Presents factor graphs as a common language for exposing and exploiting local structure across robotics estimation, planning, and control problems.</x:v>
      </x:c>
      <x:c r="AS19" s="13" t="str">
        <x:v>Connects factorization structure to elimination, incremental inference, computational efficiency, algorithm design, and emerging differentiable learning systems.</x:v>
      </x:c>
      <x:c r="AT19" s="13" t="str">
        <x:v>The review identifies unresolved computational challenges in mixed discrete-continuous inference and does not provide a single end-to-end long-horizon planning system.</x:v>
      </x:c>
      <x:c r="AU19" s="13" t="str">
        <x:v>Advance discrete-continuous inference, factor-graph formulations for optimal control and hybrid task-and-motion planning, and integration with differentiable deep learning.</x:v>
      </x:c>
      <x:c r="AV19" s="13" t="str">
        <x:v>Probabilistic motion models can appear as factors, but the paper is a general optimization review rather than a learned world-model contribution.</x:v>
      </x:c>
      <x:c r="AW19" s="13" t="str">
        <x:v>The review shows how desired states, controls, dynamics, and collision costs can be represented as factors for optimal control and motion planning.</x:v>
      </x:c>
      <x:c r="AX19" s="13" t="str">
        <x:v>It covers trajectory and finite-horizon formulations broadly without reporting a paper-specific task horizon.</x:v>
      </x:c>
      <x:c r="AY19" s="13" t="str">
        <x:v>High</x:v>
      </x:c>
      <x:c r="AZ19" s="13" t="str">
        <x:v>Foundational and peripheral to the core corpus; retain for structured-planning background but exclude from method and world-model trend counts.</x:v>
      </x:c>
      <x:c r="BA19" s="13" t="str">
        <x:v>Factor Graphs.txt</x:v>
      </x:c>
    </x:row>
    <x:row r="20">
      <x:c r="A20" s="13" t="str">
        <x:v>batch_04</x:v>
      </x:c>
      <x:c r="B20" s="13" t="str">
        <x:v>B04-004</x:v>
      </x:c>
      <x:c r="C20" s="13" t="str">
        <x:v>Foundation models in robotics: Applications, challenges, and the future</x:v>
      </x:c>
      <x:c r="D20" s="13" t="str">
        <x:v>Roya Firoozi; Johnathan Tucker; Stephen Tian; Anirudha Majumdar; Jiankai Sun; Weiyu Liu; Yuke Zhu; Shuran Song; Ashish Kapoor; Karol Hausman; Brian Ichter; Danny Driess; Jiajun Wu; Cewu Lu; Mac Schwager</x:v>
      </x:c>
      <x:c r="E20" s="13" t="n">
        <x:v>2024</x:v>
      </x:c>
      <x:c r="F20" s="13" t="str">
        <x:v>Journal publication year: 2024; an earlier public preprint date was not established from the supplied manuscript</x:v>
      </x:c>
      <x:c r="G20" s="13" t="str">
        <x:v>The International Journal of Robotics Research</x:v>
      </x:c>
      <x:c r="H20" s="13" t="str">
        <x:v>Peer-reviewed journal survey</x:v>
      </x:c>
      <x:c r="I20" s="13" t="str">
        <x:v>Survey</x:v>
      </x:c>
      <x:c r="J20" s="13" t="str"/>
      <x:c r="K20" s="13" t="str">
        <x:v>10.1177/02783649241281508</x:v>
      </x:c>
      <x:c r="L20" s="13" t="str">
        <x:v>Yes</x:v>
      </x:c>
      <x:c r="M20" s="13" t="str">
        <x:v>Companion curated repository: https://github.com/robotics-survey/Awesome-Robotics-Foundation-Models</x:v>
      </x:c>
      <x:c r="N20" s="13" t="str">
        <x:v>General Robotics</x:v>
      </x:c>
      <x:c r="O20" s="13" t="str">
        <x:v>Survey; Foundation Models; Perception; Planning; Control</x:v>
      </x:c>
      <x:c r="P20" s="13" t="str">
        <x:v>N/A — survey covers high-level and embodied planning</x:v>
      </x:c>
      <x:c r="Q20" s="13" t="str">
        <x:v>N/A — many reviewed systems use language</x:v>
      </x:c>
      <x:c r="R20" s="13" t="str">
        <x:v>N/A</x:v>
      </x:c>
      <x:c r="S20" s="13" t="str">
        <x:v>N/A — visual generative and dynamics models are reviewed among broader foundation-model classes</x:v>
      </x:c>
      <x:c r="T20" s="13" t="str">
        <x:v>N/A — multiple model families reviewed</x:v>
      </x:c>
      <x:c r="U20" s="13" t="str">
        <x:v>Reviews pretrained language, vision, multimodal, generative, and embodied models across the robot autonomy stack.</x:v>
      </x:c>
      <x:c r="V20" s="13" t="str">
        <x:v>N/A</x:v>
      </x:c>
      <x:c r="W20" s="13" t="str">
        <x:v>N/A</x:v>
      </x:c>
      <x:c r="X20" s="13" t="str">
        <x:v>N/A</x:v>
      </x:c>
      <x:c r="Y20" s="13" t="str">
        <x:v>N/A</x:v>
      </x:c>
      <x:c r="Z20" s="13" t="str">
        <x:v>N/A — multiple planning paradigms are reviewed</x:v>
      </x:c>
      <x:c r="AA20" s="13" t="str">
        <x:v>N/A</x:v>
      </x:c>
      <x:c r="AB20" s="13" t="str">
        <x:v>N/A</x:v>
      </x:c>
      <x:c r="AC20" s="13" t="str">
        <x:v>N/A</x:v>
      </x:c>
      <x:c r="AD20" s="13" t="str">
        <x:v>The survey reviews task specification, code generation, value-function grounding, and embodied planning rather than one implemented horizon.</x:v>
      </x:c>
      <x:c r="AE20" s="13" t="str">
        <x:v>N/A</x:v>
      </x:c>
      <x:c r="AF20" s="13" t="str">
        <x:v>N/A</x:v>
      </x:c>
      <x:c r="AG20" s="13" t="str">
        <x:v>N/A</x:v>
      </x:c>
      <x:c r="AH20" s="13" t="str">
        <x:v>N/A</x:v>
      </x:c>
      <x:c r="AI20" s="13" t="str">
        <x:v>N/A</x:v>
      </x:c>
      <x:c r="AJ20" s="13" t="str">
        <x:v>N/A</x:v>
      </x:c>
      <x:c r="AK20" s="13" t="str">
        <x:v>Multiple</x:v>
      </x:c>
      <x:c r="AL20" s="13" t="str">
        <x:v>Multiple, prominently language</x:v>
      </x:c>
      <x:c r="AM20" s="13" t="str">
        <x:v>Multiple</x:v>
      </x:c>
      <x:c r="AN20" s="13" t="str">
        <x:v>Multiple robotics datasets, simulators, and embodied-AI benchmarks</x:v>
      </x:c>
      <x:c r="AO20" s="13" t="str">
        <x:v>Multiple</x:v>
      </x:c>
      <x:c r="AP20" s="13" t="str">
        <x:v>Both / Survey</x:v>
      </x:c>
      <x:c r="AQ20" s="13" t="str">
        <x:v>Both / Survey</x:v>
      </x:c>
      <x:c r="AR20" s="13" t="str">
        <x:v>Surveys how foundation models affect robot perception, decision-making, policy learning, task planning, control, embodied agents, and benchmarks.</x:v>
      </x:c>
      <x:c r="AS20" s="13" t="str">
        <x:v>Organizes the literature by components of the autonomy stack while emphasizing practical adoption challenges and safety risks.</x:v>
      </x:c>
      <x:c r="AT20" s="13" t="str">
        <x:v>The surveyed field is constrained by robot-data scarcity, physical and embodiment variability, uncertainty, hallucination, safety validation, latency, closed-loop distribution shift, and reproducibility.</x:v>
      </x:c>
      <x:c r="AU20" s="13" t="str">
        <x:v>Develop robot-relevant pretraining data and objectives, uncertainty and runtime monitoring, rigorous lifecycle safety evaluation, real-time inference, reproducible benchmarks, and better multimodal grounding.</x:v>
      </x:c>
      <x:c r="AV20" s="13" t="str">
        <x:v>The review includes visual generative models and dynamics prediction but treats them as one component of the wider foundation-model landscape.</x:v>
      </x:c>
      <x:c r="AW20" s="13" t="str">
        <x:v>It reviews LLM/VLM task specification, code generation, value functions, policy learning, and embodied agents capable of decomposing goals into actions.</x:v>
      </x:c>
      <x:c r="AX20" s="13" t="str">
        <x:v>No single task horizon is evaluated because this is a broad survey.</x:v>
      </x:c>
      <x:c r="AY20" s="13" t="str">
        <x:v>High</x:v>
      </x:c>
      <x:c r="AZ20" s="13" t="str">
        <x:v>Supporting survey rather than a core world-model paper; useful for foundation-model and deployment-challenge analyses.</x:v>
      </x:c>
      <x:c r="BA20" s="13" t="str">
        <x:v>Foundation models in robotics_Applications_challenges_and the future.txt</x:v>
      </x:c>
    </x:row>
    <x:row r="21">
      <x:c r="A21" s="13" t="str">
        <x:v>batch_04</x:v>
      </x:c>
      <x:c r="B21" s="13" t="str">
        <x:v>B04-005</x:v>
      </x:c>
      <x:c r="C21" s="13" t="str">
        <x:v>FurnitureBench: Reproducible Real-World Benchmark for Long-Horizon Complex Manipulation</x:v>
      </x:c>
      <x:c r="D21" s="13" t="str">
        <x:v>Minho Heo; Youngwoon Lee; Doohyun Lee; Joseph J. Lim</x:v>
      </x:c>
      <x:c r="E21" s="13" t="n">
        <x:v>2023</x:v>
      </x:c>
      <x:c r="F21" s="13" t="str">
        <x:v>Robotics: Science and Systems 2023</x:v>
      </x:c>
      <x:c r="G21" s="13" t="str">
        <x:v>Robotics: Science and Systems (RSS)</x:v>
      </x:c>
      <x:c r="H21" s="13" t="str">
        <x:v>Peer-reviewed conference article</x:v>
      </x:c>
      <x:c r="I21" s="13" t="str">
        <x:v>Benchmark</x:v>
      </x:c>
      <x:c r="J21" s="13" t="str"/>
      <x:c r="K21" s="13" t="str">
        <x:v>RSS 2023</x:v>
      </x:c>
      <x:c r="L21" s="13" t="str">
        <x:v>Yes</x:v>
      </x:c>
      <x:c r="M21" s="13" t="str">
        <x:v>Code, data, simulator, furniture models, and setup instructions are released at https://github.com/clvrai/furniture-bench</x:v>
      </x:c>
      <x:c r="N21" s="13" t="str">
        <x:v>Long-Horizon Manipulation; Furniture Assembly</x:v>
      </x:c>
      <x:c r="O21" s="13" t="str">
        <x:v>Benchmark; Imitation Learning; Offline Reinforcement Learning; Task and Motion Planning</x:v>
      </x:c>
      <x:c r="P21" s="13" t="str">
        <x:v>Yes</x:v>
      </x:c>
      <x:c r="Q21" s="13" t="str">
        <x:v>No</x:v>
      </x:c>
      <x:c r="R21" s="13" t="str">
        <x:v>No</x:v>
      </x:c>
      <x:c r="S21" s="13" t="str">
        <x:v>No</x:v>
      </x:c>
      <x:c r="T21" s="13" t="str">
        <x:v>None</x:v>
      </x:c>
      <x:c r="U21" s="13" t="str">
        <x:v>N/A — the paper introduces a benchmark and evaluates BC and IQL baselines rather than a predictive world model.</x:v>
      </x:c>
      <x:c r="V21" s="13" t="str">
        <x:v>N/A</x:v>
      </x:c>
      <x:c r="W21" s="13" t="str">
        <x:v>N/A</x:v>
      </x:c>
      <x:c r="X21" s="13" t="str">
        <x:v>N/A</x:v>
      </x:c>
      <x:c r="Y21" s="13" t="str">
        <x:v>No</x:v>
      </x:c>
      <x:c r="Z21" s="13" t="str">
        <x:v>No — no new planner is proposed</x:v>
      </x:c>
      <x:c r="AA21" s="13" t="str">
        <x:v>None</x:v>
      </x:c>
      <x:c r="AB21" s="13" t="str">
        <x:v>N/A</x:v>
      </x:c>
      <x:c r="AC21" s="13" t="str">
        <x:v>N/A</x:v>
      </x:c>
      <x:c r="AD21" s="13" t="str">
        <x:v>The benchmark tasks last approximately 600–2300 low-level steps or 60–230 seconds, but the baseline methods are direct learned policies rather than explicit planners.</x:v>
      </x:c>
      <x:c r="AE21" s="13" t="str">
        <x:v>N/A — the task itself has hierarchical phases</x:v>
      </x:c>
      <x:c r="AF21" s="13" t="str">
        <x:v>N/A</x:v>
      </x:c>
      <x:c r="AG21" s="13" t="str">
        <x:v>N/A</x:v>
      </x:c>
      <x:c r="AH21" s="13" t="str">
        <x:v>Benchmark; Imitation Learning; Offline Reinforcement Learning</x:v>
      </x:c>
      <x:c r="AI21" s="13" t="str">
        <x:v>Behavior Cloning and IQL baselines</x:v>
      </x:c>
      <x:c r="AJ21" s="13" t="str">
        <x:v>Baseline-dependent — ResNet, R3M, and VIP visual encoders are evaluated</x:v>
      </x:c>
      <x:c r="AK21" s="13" t="str">
        <x:v>Front RGB; wrist RGB; robot proprioception</x:v>
      </x:c>
      <x:c r="AL21" s="13" t="str">
        <x:v>Task-specific furniture assembly objective and phase completion</x:v>
      </x:c>
      <x:c r="AM21" s="13" t="str">
        <x:v>Continuous end-effector pose command plus gripper control</x:v>
      </x:c>
      <x:c r="AN21" s="13" t="str">
        <x:v>FurnitureBench; FurnitureSim; eight furniture models with single-skill and full-assembly evaluations</x:v>
      </x:c>
      <x:c r="AO21" s="13" t="str">
        <x:v>Franka Emika Panda</x:v>
      </x:c>
      <x:c r="AP21" s="13" t="str">
        <x:v>Yes</x:v>
      </x:c>
      <x:c r="AQ21" s="13" t="str">
        <x:v>Yes</x:v>
      </x:c>
      <x:c r="AR21" s="13" t="str">
        <x:v>Provides a reproducible real-world and simulated benchmark for long-horizon furniture assembly, including more than 200 hours and 5,000 teleoperated demonstrations.</x:v>
      </x:c>
      <x:c r="AS21" s="13" t="str">
        <x:v>Combines realistic 600–2300-step assembly tasks, standardized hardware and initialization, 3D-printable objects, a large dataset, and a paired simulator.</x:v>
      </x:c>
      <x:c r="AT21" s="13" t="str">
        <x:v>Furniture is simplified and smaller than real furniture, the setup uses one Franka arm, evaluation is mainly single-task, and FurnitureSim retains significant visual and physical sim-to-real gaps.</x:v>
      </x:c>
      <x:c r="AU21" s="13" t="str">
        <x:v>Study multitask and multi-embodiment learning, extend to multi-arm and multi-robot collaboration, improve system identification, close sim-to-real gaps, and improve sample and demonstration efficiency.</x:v>
      </x:c>
      <x:c r="AV21" s="13" t="str">
        <x:v>The paper benchmarks BC and offline RL policies and does not learn a predictive environment model.</x:v>
      </x:c>
      <x:c r="AW21" s="13" t="str">
        <x:v>Furniture assembly requires high-level ordering and path planning, but the paper itself contributes the benchmark rather than a new planner.</x:v>
      </x:c>
      <x:c r="AX21" s="13" t="str">
        <x:v>Assembly episodes span roughly 60–230 seconds and 600–2300 low-level steps with repeated grasp, align, insert, screw, and regrasp phases.</x:v>
      </x:c>
      <x:c r="AY21" s="13" t="str">
        <x:v>High</x:v>
      </x:c>
      <x:c r="AZ21" s="13" t="str">
        <x:v>Core long-horizon benchmark. Exclude from method-only planner and world-model counts, but use heavily in benchmark and horizon analyses.</x:v>
      </x:c>
      <x:c r="BA21" s="13" t="str">
        <x:v>FurnitureBench_ Reproducible Real-World Benchmark for Long-Horizon Complex Manipulation.txt</x:v>
      </x:c>
    </x:row>
    <x:row r="22">
      <x:c r="A22" s="13" t="str">
        <x:v>batch_05</x:v>
      </x:c>
      <x:c r="B22" s="13" t="str">
        <x:v>B05-001</x:v>
      </x:c>
      <x:c r="C22" s="13" t="str">
        <x:v>Hierarchical World Models as Visual Whole-Body Humanoid Controllers</x:v>
      </x:c>
      <x:c r="D22" s="13" t="str">
        <x:v>Nicklas Hansen; Jyothir S V; Vlad Sobal; Yann LeCun; Xiaolong Wang; Hao Su</x:v>
      </x:c>
      <x:c r="E22" s="13" t="n">
        <x:v>2024</x:v>
      </x:c>
      <x:c r="F22" s="13" t="str">
        <x:v>First public appearance: arXiv:2405.18418 in May 2024; published at ICLR 2025</x:v>
      </x:c>
      <x:c r="G22" s="13" t="str">
        <x:v>International Conference on Learning Representations (ICLR)</x:v>
      </x:c>
      <x:c r="H22" s="13" t="str">
        <x:v>Peer-reviewed conference article</x:v>
      </x:c>
      <x:c r="I22" s="13" t="str">
        <x:v>Method</x:v>
      </x:c>
      <x:c r="J22" s="13" t="str"/>
      <x:c r="K22" s="13" t="str">
        <x:v>arXiv:2405.18418</x:v>
      </x:c>
      <x:c r="L22" s="13" t="str">
        <x:v>Yes</x:v>
      </x:c>
      <x:c r="M22" s="13" t="str">
        <x:v>Code, environments, and checkpoints are released through the Puppeteer project page.</x:v>
      </x:c>
      <x:c r="N22" s="13" t="str">
        <x:v>Humanoid Control; Locomotion; General Robotics</x:v>
      </x:c>
      <x:c r="O22" s="13" t="str">
        <x:v>World Modeling; Model-Based Reinforcement Learning; Hierarchical Control</x:v>
      </x:c>
      <x:c r="P22" s="13" t="str">
        <x:v>No / Unclear</x:v>
      </x:c>
      <x:c r="Q22" s="13" t="str">
        <x:v>No</x:v>
      </x:c>
      <x:c r="R22" s="13" t="str">
        <x:v>No</x:v>
      </x:c>
      <x:c r="S22" s="13" t="str">
        <x:v>Yes</x:v>
      </x:c>
      <x:c r="T22" s="13" t="str">
        <x:v>Latent Dynamics</x:v>
      </x:c>
      <x:c r="U22" s="13" t="str">
        <x:v>Two independently trained TD-MPC2 decoder-free latent world models: a high-level visual puppeteer and a reusable low-level motion-tracking controller.</x:v>
      </x:c>
      <x:c r="V22" s="13" t="str">
        <x:v>Latent</x:v>
      </x:c>
      <x:c r="W22" s="13" t="str">
        <x:v>Next latent state; reward; termination; terminal value</x:v>
      </x:c>
      <x:c r="X22" s="13" t="str">
        <x:v>Yes</x:v>
      </x:c>
      <x:c r="Y22" s="13" t="str">
        <x:v>No</x:v>
      </x:c>
      <x:c r="Z22" s="13" t="str">
        <x:v>Yes</x:v>
      </x:c>
      <x:c r="AA22" s="13" t="str">
        <x:v>MPC; Hierarchical; MPPI</x:v>
      </x:c>
      <x:c r="AB22" s="13" t="str">
        <x:v>Latent</x:v>
      </x:c>
      <x:c r="AC22" s="13" t="str">
        <x:v>Short</x:v>
      </x:c>
      <x:c r="AD22" s="13" t="str">
        <x:v>Both levels use TD-MPC2 planning with H=3; the hierarchy is architectural rather than a long temporal abstraction.</x:v>
      </x:c>
      <x:c r="AE22" s="13" t="str">
        <x:v>Yes</x:v>
      </x:c>
      <x:c r="AF22" s="13" t="str">
        <x:v>Yes</x:v>
      </x:c>
      <x:c r="AG22" s="13" t="str">
        <x:v>Full End-to-End Planner</x:v>
      </x:c>
      <x:c r="AH22" s="13" t="str">
        <x:v>Online Model-Based Reinforcement Learning; Motion-Capture Pretraining</x:v>
      </x:c>
      <x:c r="AI22" s="13" t="str">
        <x:v>Hierarchical TD-MPC2 controller with policy priors</x:v>
      </x:c>
      <x:c r="AJ22" s="13" t="str">
        <x:v>Yes — the low-level tracking model is pretrained on retargeted CMU motion-capture data</x:v>
      </x:c>
      <x:c r="AK22" s="13" t="str">
        <x:v>RGB; proprioception; contact sensing; abstract reference commands</x:v>
      </x:c>
      <x:c r="AL22" s="13" t="str">
        <x:v>Reward-defined locomotion task; geometric end-effector reference command</x:v>
      </x:c>
      <x:c r="AM22" s="13" t="str">
        <x:v>Continuous: 56-dimensional joint control at the low level and 15-dimensional geometric commands at the high level</x:v>
      </x:c>
      <x:c r="AN22" s="13" t="str">
        <x:v>Custom 8-task visual whole-body humanoid-control suite: corridor, hurdles, walls, gaps, stairs, stand, walk, run</x:v>
      </x:c>
      <x:c r="AO22" s="13" t="str">
        <x:v>Simulated 56-DoF CMU Humanoid in DM Control / MuJoCo</x:v>
      </x:c>
      <x:c r="AP22" s="13" t="str">
        <x:v>Yes</x:v>
      </x:c>
      <x:c r="AQ22" s="13" t="str">
        <x:v>No</x:v>
      </x:c>
      <x:c r="AR22" s="13" t="str">
        <x:v>Introduces a two-level latent world-model controller that converts visual task observations into reusable geometric motion commands and joint-level humanoid control.</x:v>
      </x:c>
      <x:c r="AS22" s="13" t="str">
        <x:v>Uses algorithmically identical TD-MPC2 world models at both hierarchy levels while learning human-like motion without hand-designed skill primitives or imitation rewards.</x:v>
      </x:c>
      <x:c r="AT22" s="13" t="str">
        <x:v>Evaluation is simulation-only and primarily locomotion-focused; the hierarchy has only two levels, and most experiments pretrain only the low-level model.</x:v>
      </x:c>
      <x:c r="AU22" s="13" t="str">
        <x:v>Broaden the task suite and study pretraining, transfer, and reuse of the complete hierarchical world model.</x:v>
      </x:c>
      <x:c r="AV22" s="13" t="str">
        <x:v>Each level learns an action-conditioned latent transition, reward, value, termination, and policy-prior model without reconstructing raw observations.</x:v>
      </x:c>
      <x:c r="AW22" s="13" t="str">
        <x:v>Both the high-level command sequence and low-level joint-action sequence are optimized with TD-MPC2's MPPI-based MPC.</x:v>
      </x:c>
      <x:c r="AX22" s="13" t="str">
        <x:v>The planner horizon is H=3 and episodes can last 500 steps; the tasks are sustained control rather than task-level long-horizon decomposition.</x:v>
      </x:c>
      <x:c r="AY22" s="13" t="str">
        <x:v>High</x:v>
      </x:c>
      <x:c r="AZ22" s="13" t="str">
        <x:v>Core hierarchical world-model paper, but not long-horizon manipulation; keep task horizon separate from its two-level architecture.</x:v>
      </x:c>
      <x:c r="BA22" s="13" t="str">
        <x:v>Hierarchical World Models as Visual Whole-Body Humanoid Controllers.txt</x:v>
      </x:c>
    </x:row>
    <x:row r="23">
      <x:c r="A23" s="13" t="str">
        <x:v>batch_05</x:v>
      </x:c>
      <x:c r="B23" s="13" t="str">
        <x:v>B05-002</x:v>
      </x:c>
      <x:c r="C23" s="13" t="str">
        <x:v>IKEA Furniture Assembly Environment for Long-Horizon Complex Manipulation Tasks</x:v>
      </x:c>
      <x:c r="D23" s="13" t="str">
        <x:v>Youngwoon Lee; Edward S. Hu; Zhengyu Yang; Alex Yin; Joseph J. Lim</x:v>
      </x:c>
      <x:c r="E23" s="13" t="n">
        <x:v>2019</x:v>
      </x:c>
      <x:c r="F23" s="13" t="str">
        <x:v>First public appearance: arXiv:1911.07246 on 17 Nov 2019</x:v>
      </x:c>
      <x:c r="G23" s="13" t="str">
        <x:v>arXiv</x:v>
      </x:c>
      <x:c r="H23" s="13" t="str">
        <x:v>Preprint</x:v>
      </x:c>
      <x:c r="I23" s="13" t="str">
        <x:v>Benchmark</x:v>
      </x:c>
      <x:c r="J23" s="13" t="str"/>
      <x:c r="K23" s="13" t="str">
        <x:v>arXiv:1911.07246</x:v>
      </x:c>
      <x:c r="L23" s="13" t="str">
        <x:v>Yes</x:v>
      </x:c>
      <x:c r="M23" s="13" t="str">
        <x:v>The simulation environment is publicly released through the project website.</x:v>
      </x:c>
      <x:c r="N23" s="13" t="str">
        <x:v>Long-Horizon Manipulation; Furniture Assembly</x:v>
      </x:c>
      <x:c r="O23" s="13" t="str">
        <x:v>Benchmark; Simulation Environment; Planning; Control</x:v>
      </x:c>
      <x:c r="P23" s="13" t="str">
        <x:v>Yes</x:v>
      </x:c>
      <x:c r="Q23" s="13" t="str">
        <x:v>No</x:v>
      </x:c>
      <x:c r="R23" s="13" t="str">
        <x:v>No</x:v>
      </x:c>
      <x:c r="S23" s="13" t="str">
        <x:v>No</x:v>
      </x:c>
      <x:c r="T23" s="13" t="str">
        <x:v>None</x:v>
      </x:c>
      <x:c r="U23" s="13" t="str">
        <x:v>N/A — the contribution is a configurable simulation environment rather than a learned predictive model.</x:v>
      </x:c>
      <x:c r="V23" s="13" t="str">
        <x:v>N/A</x:v>
      </x:c>
      <x:c r="W23" s="13" t="str">
        <x:v>N/A</x:v>
      </x:c>
      <x:c r="X23" s="13" t="str">
        <x:v>N/A</x:v>
      </x:c>
      <x:c r="Y23" s="13" t="str">
        <x:v>No</x:v>
      </x:c>
      <x:c r="Z23" s="13" t="str">
        <x:v>No — no new planner is proposed</x:v>
      </x:c>
      <x:c r="AA23" s="13" t="str">
        <x:v>None</x:v>
      </x:c>
      <x:c r="AB23" s="13" t="str">
        <x:v>N/A</x:v>
      </x:c>
      <x:c r="AC23" s="13" t="str">
        <x:v>N/A</x:v>
      </x:c>
      <x:c r="AD23" s="13" t="str">
        <x:v>Furniture assembly is explicitly hierarchical and long-horizon, but the paper contributes the environment rather than a planning algorithm.</x:v>
      </x:c>
      <x:c r="AE23" s="13" t="str">
        <x:v>N/A — the benchmark task has a hierarchical structure</x:v>
      </x:c>
      <x:c r="AF23" s="13" t="str">
        <x:v>N/A</x:v>
      </x:c>
      <x:c r="AG23" s="13" t="str">
        <x:v>N/A</x:v>
      </x:c>
      <x:c r="AH23" s="13" t="str">
        <x:v>Benchmark Environment; Reinforcement Learning Testbed</x:v>
      </x:c>
      <x:c r="AI23" s="13" t="str">
        <x:v>N/A</x:v>
      </x:c>
      <x:c r="AJ23" s="13" t="str">
        <x:v>N/A</x:v>
      </x:c>
      <x:c r="AK23" s="13" t="str">
        <x:v>RGB; segmentation; depth; goal image; robot joint state; scene-graph and pose labels</x:v>
      </x:c>
      <x:c r="AL23" s="13" t="str">
        <x:v>Completed furniture configuration / goal image</x:v>
      </x:c>
      <x:c r="AM23" s="13" t="str">
        <x:v>Joint torque or task-space control; motion primitives; explicit connect action</x:v>
      </x:c>
      <x:c r="AN23" s="13" t="str">
        <x:v>IKEA Furniture Assembly Environment with more than 80 furniture models</x:v>
      </x:c>
      <x:c r="AO23" s="13" t="str">
        <x:v>Sawyer; Baxter; Cursor agent</x:v>
      </x:c>
      <x:c r="AP23" s="13" t="str">
        <x:v>Yes</x:v>
      </x:c>
      <x:c r="AQ23" s="13" t="str">
        <x:v>No</x:v>
      </x:c>
      <x:c r="AR23" s="13" t="str">
        <x:v>Provides an early standardized simulation environment for long-horizon furniture assembly with realistic rendering, diverse robots, and extensive domain randomization.</x:v>
      </x:c>
      <x:c r="AS23" s="13" t="str">
        <x:v>Combines MuJoCo physics and Unity rendering with more than 80 furniture models and hierarchical assembly tasks spanning part selection, grasping, alignment, and attachment.</x:v>
      </x:c>
      <x:c r="AT23" s="13" t="str">
        <x:v>Screwing and attachment are abstracted as connector snapping, identical parts are not interchangeable, and the environment does not directly establish real-world transfer.</x:v>
      </x:c>
      <x:c r="AU23" s="13" t="str">
        <x:v>Add realistic attachment and tool use, more robot and gripper types, multi-agent assembly, teleoperation demonstrations, and language or visual instructions.</x:v>
      </x:c>
      <x:c r="AV23" s="13" t="str">
        <x:v>The paper suggests model-based RL as future work but does not learn or evaluate a world model.</x:v>
      </x:c>
      <x:c r="AW23" s="13" t="str">
        <x:v>The environment is designed for high-level planning and hierarchical RL, but no planner is introduced in the paper.</x:v>
      </x:c>
      <x:c r="AX23" s="13" t="str">
        <x:v>Assembly repeatedly selects, grasps, aligns, and attaches parts until the full furniture object is complete.</x:v>
      </x:c>
      <x:c r="AY23" s="13" t="str">
        <x:v>High</x:v>
      </x:c>
      <x:c r="AZ23" s="13" t="str">
        <x:v>Precursor benchmark to FurnitureBench; keep as a distinct simulation-only 2019 entry rather than treating it as a duplicate.</x:v>
      </x:c>
      <x:c r="BA23" s="13" t="str">
        <x:v>IKEA Furniture Assembly Environment for Long-Horizon Complex Manipulation Tasks.txt</x:v>
      </x:c>
    </x:row>
    <x:row r="24">
      <x:c r="A24" s="13" t="str">
        <x:v>batch_05</x:v>
      </x:c>
      <x:c r="B24" s="13" t="str">
        <x:v>B05-003</x:v>
      </x:c>
      <x:c r="C24" s="13" t="str">
        <x:v>Inner Monologue: Embodied Reasoning through Planning with Language Models</x:v>
      </x:c>
      <x:c r="D24" s="13" t="str">
        <x:v>Wenlong Huang; Fei Xia; Ted Xiao; Harris Chan; Jacky Liang; Pete Florence; Andy Zeng; Jonathan Tompson; Igor Mordatch; Yevgen Chebotar; Pierre Sermanet; Noah Brown; Tomas Jackson; Linda Luu; Sergey Levine; Karol Hausman; Brian Ichter</x:v>
      </x:c>
      <x:c r="E24" s="13" t="n">
        <x:v>2022</x:v>
      </x:c>
      <x:c r="F24" s="13" t="str">
        <x:v>First public appearance: arXiv:2207.05608 in July 2022; published in the CoRL 2022 proceedings released in 2023</x:v>
      </x:c>
      <x:c r="G24" s="13" t="str">
        <x:v>Conference on Robot Learning (CoRL)</x:v>
      </x:c>
      <x:c r="H24" s="13" t="str">
        <x:v>Peer-reviewed conference article</x:v>
      </x:c>
      <x:c r="I24" s="13" t="str">
        <x:v>Method</x:v>
      </x:c>
      <x:c r="J24" s="13" t="str"/>
      <x:c r="K24" s="13" t="str">
        <x:v>arXiv:2207.05608; PMLR 205</x:v>
      </x:c>
      <x:c r="L24" s="13" t="str">
        <x:v>Yes</x:v>
      </x:c>
      <x:c r="M24" s="13" t="str">
        <x:v>Project website provides paper, videos, and supplementary material; no end-to-end code release was established from the supplied manuscript.</x:v>
      </x:c>
      <x:c r="N24" s="13" t="str">
        <x:v>Manipulation; Mobile Manipulation; Embodied AI</x:v>
      </x:c>
      <x:c r="O24" s="13" t="str">
        <x:v>Planning; Embodied Reasoning; Closed-Loop Language Feedback</x:v>
      </x:c>
      <x:c r="P24" s="13" t="str">
        <x:v>Yes</x:v>
      </x:c>
      <x:c r="Q24" s="13" t="str">
        <x:v>Yes</x:v>
      </x:c>
      <x:c r="R24" s="13" t="str">
        <x:v>Yes</x:v>
      </x:c>
      <x:c r="S24" s="13" t="str">
        <x:v>No</x:v>
      </x:c>
      <x:c r="T24" s="13" t="str">
        <x:v>None</x:v>
      </x:c>
      <x:c r="U24" s="13" t="str">
        <x:v>N/A — the system grounds a frozen LLM with textual feedback, value functions, perception modules, and pretrained skills rather than learned environment dynamics.</x:v>
      </x:c>
      <x:c r="V24" s="13" t="str">
        <x:v>N/A</x:v>
      </x:c>
      <x:c r="W24" s="13" t="str">
        <x:v>N/A</x:v>
      </x:c>
      <x:c r="X24" s="13" t="str">
        <x:v>N/A</x:v>
      </x:c>
      <x:c r="Y24" s="13" t="str">
        <x:v>No</x:v>
      </x:c>
      <x:c r="Z24" s="13" t="str">
        <x:v>Yes</x:v>
      </x:c>
      <x:c r="AA24" s="13" t="str">
        <x:v>Language Planner; Hierarchical</x:v>
      </x:c>
      <x:c r="AB24" s="13" t="str">
        <x:v>Symbolic language / skill sequence</x:v>
      </x:c>
      <x:c r="AC24" s="13" t="str">
        <x:v>Long</x:v>
      </x:c>
      <x:c r="AD24" s="13" t="str">
        <x:v>The LLM iteratively selects short-horizon skills for unseen multi-step tabletop and mobile-manipulation instructions.</x:v>
      </x:c>
      <x:c r="AE24" s="13" t="str">
        <x:v>Yes</x:v>
      </x:c>
      <x:c r="AF24" s="13" t="str">
        <x:v>Yes</x:v>
      </x:c>
      <x:c r="AG24" s="13" t="str">
        <x:v>High-Level Planner</x:v>
      </x:c>
      <x:c r="AH24" s="13" t="str">
        <x:v>Few-Shot Prompting; Pretrained Skill Composition</x:v>
      </x:c>
      <x:c r="AI24" s="13" t="str">
        <x:v>Skill Library</x:v>
      </x:c>
      <x:c r="AJ24" s="13" t="str">
        <x:v>Yes — frozen LLMs, perception models, affordance/value functions, and low-level policies</x:v>
      </x:c>
      <x:c r="AK24" s="13" t="str">
        <x:v>Language; RGB or RGB-D; textual scene descriptions; success detectors; human feedback</x:v>
      </x:c>
      <x:c r="AL24" s="13" t="str">
        <x:v>Natural-language instruction</x:v>
      </x:c>
      <x:c r="AM24" s="13" t="str">
        <x:v>Discrete selection from pretrained manipulation and navigation skills</x:v>
      </x:c>
      <x:c r="AN24" s="13" t="str">
        <x:v>Simulated tabletop rearrangement; real UR5e tabletop rearrangement; real office-kitchen mobile manipulation</x:v>
      </x:c>
      <x:c r="AO24" s="13" t="str">
        <x:v>UR5e; Everyday Robots mobile manipulator; simulated tabletop robot</x:v>
      </x:c>
      <x:c r="AP24" s="13" t="str">
        <x:v>Yes</x:v>
      </x:c>
      <x:c r="AQ24" s="13" t="str">
        <x:v>Yes</x:v>
      </x:c>
      <x:c r="AR24" s="13" t="str">
        <x:v>Closes the LLM planning loop by continually injecting textual success, scene, and human feedback so the robot can retry, replan, and ask clarifying questions.</x:v>
      </x:c>
      <x:c r="AS24" s="13" t="str">
        <x:v>Uses natural language as a common feedback interface across multiple LLM planners, perception systems, skill libraries, simulations, and real robots without additional model training.</x:v>
      </x:c>
      <x:c r="AT24" s="13" t="str">
        <x:v>Some experiments assume oracle scene descriptions; failures can arise from success detectors, LLM plans, or controllers, and overall capability remains bounded by the low-level skill library.</x:v>
      </x:c>
      <x:c r="AU24" s="13" t="str">
        <x:v>Automate scene feedback with captioning and VQA, represent feedback uncertainty, and add safety and ethics feedback modules.</x:v>
      </x:c>
      <x:c r="AV24" s="13" t="str">
        <x:v>The planner reacts to textual observations but does not learn an action-conditioned predictive model of the environment.</x:v>
      </x:c>
      <x:c r="AW24" s="13" t="str">
        <x:v>A pretrained LLM selects and sequences short-horizon skills, then incorporates success and scene feedback before producing subsequent steps.</x:v>
      </x:c>
      <x:c r="AX24" s="13" t="str">
        <x:v>The system evaluates unseen long-horizon sorting, navigation, drawer, and mobile-manipulation tasks that require multiple skill calls.</x:v>
      </x:c>
      <x:c r="AY24" s="13" t="str">
        <x:v>High</x:v>
      </x:c>
      <x:c r="AZ24" s="13" t="str">
        <x:v>Core closed-loop long-horizon language-planning paper; distinguish reactive textual feedback from learned world-model prediction.</x:v>
      </x:c>
      <x:c r="BA24" s="13" t="str">
        <x:v>Inner Monologue_ Embodied Reasoning through Planning with Language Models.txt</x:v>
      </x:c>
    </x:row>
    <x:row r="25">
      <x:c r="A25" s="13" t="str">
        <x:v>batch_05</x:v>
      </x:c>
      <x:c r="B25" s="13" t="str">
        <x:v>B05-004</x:v>
      </x:c>
      <x:c r="C25" s="13" t="str">
        <x:v>IntentVLA: Short-Horizon Intent Modeling for Aliased Robot Manipulation</x:v>
      </x:c>
      <x:c r="D25" s="13" t="str">
        <x:v>Shijie Lian; Bin Yu; Xiaopeng Lin; Zhaolong Shen; Laurence Tianruo Yang; Yurun Jin; Haishan Liu; Changti Wu; Hang Yuan; Cong Huang; Kai Chen</x:v>
      </x:c>
      <x:c r="E25" s="13" t="n">
        <x:v>2026</x:v>
      </x:c>
      <x:c r="F25" s="13" t="str">
        <x:v>First public appearance: arXiv:2605.14712 on 14 May 2026</x:v>
      </x:c>
      <x:c r="G25" s="13" t="str">
        <x:v>arXiv</x:v>
      </x:c>
      <x:c r="H25" s="13" t="str">
        <x:v>Work in progress / preprint</x:v>
      </x:c>
      <x:c r="I25" s="13" t="str">
        <x:v>Method</x:v>
      </x:c>
      <x:c r="J25" s="13" t="str"/>
      <x:c r="K25" s="13" t="str">
        <x:v>arXiv:2605.14712</x:v>
      </x:c>
      <x:c r="L25" s="13" t="str">
        <x:v>Yes</x:v>
      </x:c>
      <x:c r="M25" s="13" t="str">
        <x:v>The manuscript links a public GitHub repository.</x:v>
      </x:c>
      <x:c r="N25" s="13" t="str">
        <x:v>Manipulation; Vision-Language-Action Control</x:v>
      </x:c>
      <x:c r="O25" s="13" t="str">
        <x:v>Policy Learning; Partial Observability; Short-Horizon Intent Modeling</x:v>
      </x:c>
      <x:c r="P25" s="13" t="str">
        <x:v>No</x:v>
      </x:c>
      <x:c r="Q25" s="13" t="str">
        <x:v>Yes</x:v>
      </x:c>
      <x:c r="R25" s="13" t="str">
        <x:v>No</x:v>
      </x:c>
      <x:c r="S25" s="13" t="str">
        <x:v>No</x:v>
      </x:c>
      <x:c r="T25" s="13" t="str">
        <x:v>None</x:v>
      </x:c>
      <x:c r="U25" s="13" t="str">
        <x:v>A frozen VGGT history encoder and Qwen3-VL context produce an intent-conditioned representation for a DiT flow-matching action head; no future environment state is predicted.</x:v>
      </x:c>
      <x:c r="V25" s="13" t="str">
        <x:v>N/A</x:v>
      </x:c>
      <x:c r="W25" s="13" t="str">
        <x:v>Future action chunk</x:v>
      </x:c>
      <x:c r="X25" s="13" t="str">
        <x:v>No</x:v>
      </x:c>
      <x:c r="Y25" s="13" t="str">
        <x:v>No</x:v>
      </x:c>
      <x:c r="Z25" s="13" t="str">
        <x:v>No</x:v>
      </x:c>
      <x:c r="AA25" s="13" t="str">
        <x:v>None — receding-horizon policy execution without explicit search or model rollout</x:v>
      </x:c>
      <x:c r="AB25" s="13" t="str">
        <x:v>N/A</x:v>
      </x:c>
      <x:c r="AC25" s="13" t="str">
        <x:v>None</x:v>
      </x:c>
      <x:c r="AD25" s="13" t="str">
        <x:v>The method stabilizes adjacent action chunks using recent visual history but does not implement a planning algorithm.</x:v>
      </x:c>
      <x:c r="AE25" s="13" t="str">
        <x:v>No</x:v>
      </x:c>
      <x:c r="AF25" s="13" t="str">
        <x:v>Yes — action chunks are regenerated from updated observations and recent history</x:v>
      </x:c>
      <x:c r="AG25" s="13" t="str">
        <x:v>Local Controller</x:v>
      </x:c>
      <x:c r="AH25" s="13" t="str">
        <x:v>Imitation Learning; Flow Matching; Vision-Language Pretraining</x:v>
      </x:c>
      <x:c r="AI25" s="13" t="str">
        <x:v>History-Conditioned VLA / DiT Action Policy</x:v>
      </x:c>
      <x:c r="AJ25" s="13" t="str">
        <x:v>Yes — frozen VGGT and Qwen3-VL components</x:v>
      </x:c>
      <x:c r="AK25" s="13" t="str">
        <x:v>Recent multi-camera RGB history; current RGB; language</x:v>
      </x:c>
      <x:c r="AL25" s="13" t="str">
        <x:v>Natural-language instruction</x:v>
      </x:c>
      <x:c r="AM25" s="13" t="str">
        <x:v>Continuous action chunks</x:v>
      </x:c>
      <x:c r="AN25" s="13" t="str">
        <x:v>AliasBench; SimplerEnv; LIBERO; RoboCasa</x:v>
      </x:c>
      <x:c r="AO25" s="13" t="str">
        <x:v>Simulation-only benchmark-specific manipulators, including RoboTwin2 environments</x:v>
      </x:c>
      <x:c r="AP25" s="13" t="str">
        <x:v>Yes</x:v>
      </x:c>
      <x:c r="AQ25" s="13" t="str">
        <x:v>No</x:v>
      </x:c>
      <x:c r="AR25" s="13" t="str">
        <x:v>Uses compact recent visual history to preserve a demonstrator's local action intent across adjacent VLA action chunks under observation aliasing.</x:v>
      </x:c>
      <x:c r="AS25" s="13" t="str">
        <x:v>Introduces AliasBench and a gated history-to-current-context fusion that avoids feeding all past frames directly through the large VLA backbone.</x:v>
      </x:c>
      <x:c r="AT25" s="13" t="str">
        <x:v>Recent-window intent cannot solve sparse long-term memory or major recovery problems, and all evaluations are simulation-based.</x:v>
      </x:c>
      <x:c r="AU25" s="13" t="str">
        <x:v>Evaluate on physical robots, compare broader memory-centric VLA backbones, and develop interpretable intent probes and adaptive history selection.</x:v>
      </x:c>
      <x:c r="AV25" s="13" t="str">
        <x:v>The model predicts actions conditioned on history; it does not predict future observations, latent environment states, rewards, or dynamics.</x:v>
      </x:c>
      <x:c r="AW25" s="13" t="str">
        <x:v>Receding-horizon chunk sampling is direct policy inference rather than MPC, search, or task decomposition.</x:v>
      </x:c>
      <x:c r="AX25" s="13" t="str">
        <x:v>The paper explicitly targets short-horizon ambiguity and states that it is not a complete solution to long-term memory or planning.</x:v>
      </x:c>
      <x:c r="AY25" s="13" t="str">
        <x:v>High</x:v>
      </x:c>
      <x:c r="AZ25" s="13" t="str">
        <x:v>VLA policy and benchmark paper; exclude from world-model and explicit-planning counts despite its temporal history module.</x:v>
      </x:c>
      <x:c r="BA25" s="13" t="str">
        <x:v>IntentVLA_ Short-Horizon Intent Modeling for Aliased Robot Manipulation.txt</x:v>
      </x:c>
    </x:row>
    <x:row r="26">
      <x:c r="A26" s="13" t="str">
        <x:v>batch_05</x:v>
      </x:c>
      <x:c r="B26" s="13" t="str">
        <x:v>B05-005</x:v>
      </x:c>
      <x:c r="C26" s="13" t="str">
        <x:v>IQL-TD-MPC: Implicit Q-Learning for Hierarchical Model Predictive Control</x:v>
      </x:c>
      <x:c r="D26" s="13" t="str">
        <x:v>Rohan Chitnis; Yingchen Xu; Bobak Hashemi; Lucas Lehnert; Urun Dogan; Zheqing Zhu; Olivier Delalleau</x:v>
      </x:c>
      <x:c r="E26" s="13" t="n">
        <x:v>2023</x:v>
      </x:c>
      <x:c r="F26" s="13" t="str">
        <x:v>First public appearance: arXiv:2306.00867 on 1 Jun 2023</x:v>
      </x:c>
      <x:c r="G26" s="13" t="str">
        <x:v>arXiv</x:v>
      </x:c>
      <x:c r="H26" s="13" t="str">
        <x:v>Preprint / under review in supplied manuscript</x:v>
      </x:c>
      <x:c r="I26" s="13" t="str">
        <x:v>Method</x:v>
      </x:c>
      <x:c r="J26" s="13" t="str"/>
      <x:c r="K26" s="13" t="str">
        <x:v>arXiv:2306.00867</x:v>
      </x:c>
      <x:c r="L26" s="13" t="str">
        <x:v>Unknown</x:v>
      </x:c>
      <x:c r="M26" s="13" t="str">
        <x:v>A project website and video results are available, but a dedicated code release was not established from the supplied manuscript.</x:v>
      </x:c>
      <x:c r="N26" s="13" t="str">
        <x:v>Navigation; Locomotion; General Continuous Control</x:v>
      </x:c>
      <x:c r="O26" s="13" t="str">
        <x:v>World Modeling; Offline Reinforcement Learning; Hierarchical Planning</x:v>
      </x:c>
      <x:c r="P26" s="13" t="str">
        <x:v>Yes</x:v>
      </x:c>
      <x:c r="Q26" s="13" t="str">
        <x:v>No</x:v>
      </x:c>
      <x:c r="R26" s="13" t="str">
        <x:v>No</x:v>
      </x:c>
      <x:c r="S26" s="13" t="str">
        <x:v>Yes</x:v>
      </x:c>
      <x:c r="T26" s="13" t="str">
        <x:v>Latent Dynamics</x:v>
      </x:c>
      <x:c r="U26" s="13" t="str">
        <x:v>Offline TD-MPC augmented with Implicit Q-Learning; a temporally abstract manager learns a latent action-conditioned model and generates intent embeddings for an arbitrary offline-RL worker.</x:v>
      </x:c>
      <x:c r="V26" s="13" t="str">
        <x:v>Latent</x:v>
      </x:c>
      <x:c r="W26" s="13" t="str">
        <x:v>Temporally abstract future latent state; reward; value</x:v>
      </x:c>
      <x:c r="X26" s="13" t="str">
        <x:v>Yes</x:v>
      </x:c>
      <x:c r="Y26" s="13" t="str">
        <x:v>No</x:v>
      </x:c>
      <x:c r="Z26" s="13" t="str">
        <x:v>Yes</x:v>
      </x:c>
      <x:c r="AA26" s="13" t="str">
        <x:v>MPC; Hierarchical; CEM</x:v>
      </x:c>
      <x:c r="AB26" s="13" t="str">
        <x:v>Latent</x:v>
      </x:c>
      <x:c r="AC26" s="13" t="str">
        <x:v>Medium</x:v>
      </x:c>
      <x:c r="AD26" s="13" t="str">
        <x:v>The manager plans H=4 abstract steps with temporal coarseness k=8, corresponding to 32 environment steps.</x:v>
      </x:c>
      <x:c r="AE26" s="13" t="str">
        <x:v>Yes</x:v>
      </x:c>
      <x:c r="AF26" s="13" t="str">
        <x:v>Yes — the manager recomputes intent embeddings using MPC during evaluation</x:v>
      </x:c>
      <x:c r="AG26" s="13" t="str">
        <x:v>High-Level Planner</x:v>
      </x:c>
      <x:c r="AH26" s="13" t="str">
        <x:v>Offline Model-Based Reinforcement Learning; Implicit Q-Learning</x:v>
      </x:c>
      <x:c r="AI26" s="13" t="str">
        <x:v>Manager-Worker Offline RL</x:v>
      </x:c>
      <x:c r="AJ26" s="13" t="str">
        <x:v>Yes — the manager is trained offline before worker training and evaluation</x:v>
      </x:c>
      <x:c r="AK26" s="13" t="str">
        <x:v>Low-dimensional environment state</x:v>
      </x:c>
      <x:c r="AL26" s="13" t="str">
        <x:v>Reward-defined objective represented through learned latent intent embeddings</x:v>
      </x:c>
      <x:c r="AM26" s="13" t="str">
        <x:v>Continuous environment actions for workers; discrete latent manager actions</x:v>
      </x:c>
      <x:c r="AN26" s="13" t="str">
        <x:v>D4RL Maze2D; AntMaze; HalfCheetah; Walker2D; Hopper</x:v>
      </x:c>
      <x:c r="AO26" s="13" t="str">
        <x:v>Simulation-only D4RL agents</x:v>
      </x:c>
      <x:c r="AP26" s="13" t="str">
        <x:v>Yes</x:v>
      </x:c>
      <x:c r="AQ26" s="13" t="str">
        <x:v>No</x:v>
      </x:c>
      <x:c r="AR26" s="13" t="str">
        <x:v>Adapts TD-MPC to offline data with IQL and uses a temporally abstract model-based manager to supply latent subgoal-like intent embeddings to arbitrary offline-RL workers.</x:v>
      </x:c>
      <x:c r="AS26" s="13" t="str">
        <x:v>Improves multiple otherwise unchanged worker algorithms through simple state concatenation with manager-generated intent embeddings.</x:v>
      </x:c>
      <x:c r="AT26" s="13" t="str">
        <x:v>Hierarchy harms some fine-grained locomotion tasks, the worker does not explicitly optimize toward the intent, the abstraction timescale is fixed, and manager rollouts are computationally expensive.</x:v>
      </x:c>
      <x:c r="AU26" s="13" t="str">
        <x:v>Use model-based workers, learn adaptive manager timescales, understand harmful intents, and accelerate world-model rollout with more parallel architectures.</x:v>
      </x:c>
      <x:c r="AV26" s="13" t="str">
        <x:v>The manager learns an encoder, action-conditioned latent dynamics, reward model, critic, and policy used for abstract MPC.</x:v>
      </x:c>
      <x:c r="AW26" s="13" t="str">
        <x:v>CEM-based MPC optimizes manager action sequences whose resulting latent intent is concatenated to the worker state.</x:v>
      </x:c>
      <x:c r="AX26" s="13" t="str">
        <x:v>Although H=4 is short in abstract steps, k=8 makes it a 32-environment-step medium planning horizon on long-horizon sparse-reward tasks.</x:v>
      </x:c>
      <x:c r="AY26" s="13" t="str">
        <x:v>High</x:v>
      </x:c>
      <x:c r="AZ26" s="13" t="str">
        <x:v>Core hierarchical world-model planning paper outside manipulation; task-level long-horizon is Yes while explicit planning_horizon is Medium.</x:v>
      </x:c>
      <x:c r="BA26" s="13" t="str">
        <x:v>IQL-TD-MPC_ Implicit Q-Learning for Hierarchical Model Predictive Control.txt</x:v>
      </x:c>
    </x:row>
    <x:row r="27">
      <x:c r="A27" s="13" t="str">
        <x:v>batch_06</x:v>
      </x:c>
      <x:c r="B27" s="13" t="str">
        <x:v>B06-001</x:v>
      </x:c>
      <x:c r="C27" s="13" t="str">
        <x:v>Is Sora a World Simulator? A Comprehensive Survey on General World Models and Beyond</x:v>
      </x:c>
      <x:c r="D27" s="13" t="str">
        <x:v>Zheng Zhu; Xiaofeng Wang; Wangbo Zhao; Chen Min; Bohan Li; Nianchen Deng; Min Dou; Yuqi Wang; Botian Shi; Kai Wang; Chi Zhang; Yang You; Zhaoxiang Zhang; Dawei Zhao; Liang Xiao; Jian Zhao; Jiwen Lu; Guan Huang</x:v>
      </x:c>
      <x:c r="E27" s="13" t="n">
        <x:v>2024</x:v>
      </x:c>
      <x:c r="F27" s="13" t="str">
        <x:v>First public appearance: arXiv:2405.03520 in May 2024; supplied revision and IEEE TPAMI manuscript are dated 2025</x:v>
      </x:c>
      <x:c r="G27" s="13" t="str">
        <x:v>IEEE Transactions on Pattern Analysis and Machine Intelligence</x:v>
      </x:c>
      <x:c r="H27" s="13" t="str">
        <x:v>Journal survey manuscript / revised arXiv version</x:v>
      </x:c>
      <x:c r="I27" s="13" t="str">
        <x:v>Survey</x:v>
      </x:c>
      <x:c r="J27" s="13" t="str"/>
      <x:c r="K27" s="13" t="str">
        <x:v>arXiv:2405.03520</x:v>
      </x:c>
      <x:c r="L27" s="13" t="str">
        <x:v>Yes</x:v>
      </x:c>
      <x:c r="M27" s="13" t="str">
        <x:v>The authors maintain a public General World Models Survey repository.</x:v>
      </x:c>
      <x:c r="N27" s="13" t="str">
        <x:v>General AI; Autonomous Driving; Autonomous Agents; Robotics</x:v>
      </x:c>
      <x:c r="O27" s="13" t="str">
        <x:v>Survey; General World Models; Video Generation; Autonomous Agents</x:v>
      </x:c>
      <x:c r="P27" s="13" t="str">
        <x:v>N/A — survey discusses long-term prediction and decision making</x:v>
      </x:c>
      <x:c r="Q27" s="13" t="str">
        <x:v>N/A — multiple conditioning paradigms are reviewed</x:v>
      </x:c>
      <x:c r="R27" s="13" t="str">
        <x:v>N/A</x:v>
      </x:c>
      <x:c r="S27" s="13" t="str">
        <x:v>N/A — survey reviews many world-model families</x:v>
      </x:c>
      <x:c r="T27" s="13" t="str">
        <x:v>N/A — generative video, latent dynamics, JEPA, driving, and agent models reviewed</x:v>
      </x:c>
      <x:c r="U27" s="13" t="str">
        <x:v>Frames general world models as systems that understand environments through future prediction, spanning video generation, driving, games, and robotics.</x:v>
      </x:c>
      <x:c r="V27" s="13" t="str">
        <x:v>N/A</x:v>
      </x:c>
      <x:c r="W27" s="13" t="str">
        <x:v>N/A</x:v>
      </x:c>
      <x:c r="X27" s="13" t="str">
        <x:v>N/A</x:v>
      </x:c>
      <x:c r="Y27" s="13" t="str">
        <x:v>N/A</x:v>
      </x:c>
      <x:c r="Z27" s="13" t="str">
        <x:v>N/A — multiple planning and policy-learning systems are reviewed</x:v>
      </x:c>
      <x:c r="AA27" s="13" t="str">
        <x:v>N/A</x:v>
      </x:c>
      <x:c r="AB27" s="13" t="str">
        <x:v>N/A</x:v>
      </x:c>
      <x:c r="AC27" s="13" t="str">
        <x:v>N/A</x:v>
      </x:c>
      <x:c r="AD27" s="13" t="str">
        <x:v>The survey covers predictive decision making over multiple horizons but does not propose one planner.</x:v>
      </x:c>
      <x:c r="AE27" s="13" t="str">
        <x:v>N/A</x:v>
      </x:c>
      <x:c r="AF27" s="13" t="str">
        <x:v>N/A</x:v>
      </x:c>
      <x:c r="AG27" s="13" t="str">
        <x:v>N/A</x:v>
      </x:c>
      <x:c r="AH27" s="13" t="str">
        <x:v>N/A</x:v>
      </x:c>
      <x:c r="AI27" s="13" t="str">
        <x:v>N/A</x:v>
      </x:c>
      <x:c r="AJ27" s="13" t="str">
        <x:v>N/A</x:v>
      </x:c>
      <x:c r="AK27" s="13" t="str">
        <x:v>Multiple: video; text; driving sensors; agent observations</x:v>
      </x:c>
      <x:c r="AL27" s="13" t="str">
        <x:v>Multiple</x:v>
      </x:c>
      <x:c r="AM27" s="13" t="str">
        <x:v>Multiple</x:v>
      </x:c>
      <x:c r="AN27" s="13" t="str">
        <x:v>Multiple video-generation, autonomous-driving, game, and robotics benchmarks</x:v>
      </x:c>
      <x:c r="AO27" s="13" t="str">
        <x:v>Multiple</x:v>
      </x:c>
      <x:c r="AP27" s="13" t="str">
        <x:v>Both / Survey</x:v>
      </x:c>
      <x:c r="AQ27" s="13" t="str">
        <x:v>Both / Survey</x:v>
      </x:c>
      <x:c r="AR27" s="13" t="str">
        <x:v>Provides a broad taxonomy and review of general world models across video generation, autonomous driving, and autonomous agents.</x:v>
      </x:c>
      <x:c r="AS27" s="13" t="str">
        <x:v>Connects generative video modeling to downstream decision systems and explicitly evaluates whether high-fidelity video generators constitute world simulators.</x:v>
      </x:c>
      <x:c r="AT27" s="13" t="str">
        <x:v>Current world models remain weak in causal and counterfactual reasoning, physical consistency, action controllability, long-term coherence, data coverage, scalability, evaluation, and safety.</x:v>
      </x:c>
      <x:c r="AU27" s="13" t="str">
        <x:v>Advance causal reasoning, controllable and interactive generation, multimodal and 3D consistency, real-world simulators, stronger evaluation, scalable data, and safe autonomous-agent deployment.</x:v>
      </x:c>
      <x:c r="AV27" s="13" t="str">
        <x:v>The survey defines general world models through future prediction and reviews generative, latent, driving, and autonomous-agent approaches.</x:v>
      </x:c>
      <x:c r="AW27" s="13" t="str">
        <x:v>Planning and policy learning are reviewed as downstream uses of predicted futures rather than as one implemented system.</x:v>
      </x:c>
      <x:c r="AX27" s="13" t="str">
        <x:v>Long-term dependency and multi-step decision making are identified as open field-level challenges.</x:v>
      </x:c>
      <x:c r="AY27" s="13" t="str">
        <x:v>High</x:v>
      </x:c>
      <x:c r="AZ27" s="13" t="str">
        <x:v>Exclude from method-only architecture and performance counts; retain for broad taxonomy, definitions, and challenge analysis.</x:v>
      </x:c>
      <x:c r="BA27" s="13" t="str">
        <x:v>Is Sora a World Simulator_ A Comprehensive Survey on General World Models and Beyond.txt</x:v>
      </x:c>
    </x:row>
    <x:row r="28">
      <x:c r="A28" s="13" t="str">
        <x:v>batch_06</x:v>
      </x:c>
      <x:c r="B28" s="13" t="str">
        <x:v>B06-002</x:v>
      </x:c>
      <x:c r="C28" s="13" t="str">
        <x:v>JEPA-VLA: Video Predictive Embedding is Needed for VLA Models</x:v>
      </x:c>
      <x:c r="D28" s="13" t="str">
        <x:v>Shangchen Miao; Ningya Feng; Jialong Wu; Ye Lin; Xu He; Dong Li; Mingsheng Long</x:v>
      </x:c>
      <x:c r="E28" s="13" t="n">
        <x:v>2026</x:v>
      </x:c>
      <x:c r="F28" s="13" t="str">
        <x:v>First public appearance: arXiv:2602.11832 on 12 Feb 2026</x:v>
      </x:c>
      <x:c r="G28" s="13" t="str">
        <x:v>arXiv</x:v>
      </x:c>
      <x:c r="H28" s="13" t="str">
        <x:v>Preprint</x:v>
      </x:c>
      <x:c r="I28" s="13" t="str">
        <x:v>Method</x:v>
      </x:c>
      <x:c r="J28" s="13" t="str"/>
      <x:c r="K28" s="13" t="str">
        <x:v>arXiv:2602.11832</x:v>
      </x:c>
      <x:c r="L28" s="13" t="str">
        <x:v>Unknown</x:v>
      </x:c>
      <x:c r="M28" s="13" t="str">
        <x:v>No companion code repository was identified in the supplied manuscript.</x:v>
      </x:c>
      <x:c r="N28" s="13" t="str">
        <x:v>Manipulation; Vision-Language-Action Control</x:v>
      </x:c>
      <x:c r="O28" s="13" t="str">
        <x:v>Policy Learning; Representation Transfer; Generalization</x:v>
      </x:c>
      <x:c r="P28" s="13" t="str">
        <x:v>Yes</x:v>
      </x:c>
      <x:c r="Q28" s="13" t="str">
        <x:v>Yes</x:v>
      </x:c>
      <x:c r="R28" s="13" t="str">
        <x:v>No</x:v>
      </x:c>
      <x:c r="S28" s="13" t="str">
        <x:v>No</x:v>
      </x:c>
      <x:c r="T28" s="13" t="str">
        <x:v>None</x:v>
      </x:c>
      <x:c r="U28" s="13" t="str">
        <x:v>Uses frozen V-JEPA 2 video-predictive embeddings as additional VLA features, but the downstream method does not learn or roll out environment dynamics.</x:v>
      </x:c>
      <x:c r="V28" s="13" t="str">
        <x:v>N/A</x:v>
      </x:c>
      <x:c r="W28" s="13" t="str">
        <x:v>Future action chunk</x:v>
      </x:c>
      <x:c r="X28" s="13" t="str">
        <x:v>No</x:v>
      </x:c>
      <x:c r="Y28" s="13" t="str">
        <x:v>No — V-JEPA 2 was pretrained predictively, but JEPA-VLA itself performs action prediction</x:v>
      </x:c>
      <x:c r="Z28" s="13" t="str">
        <x:v>No</x:v>
      </x:c>
      <x:c r="AA28" s="13" t="str">
        <x:v>None — direct VLA action generation</x:v>
      </x:c>
      <x:c r="AB28" s="13" t="str">
        <x:v>N/A</x:v>
      </x:c>
      <x:c r="AC28" s="13" t="str">
        <x:v>None</x:v>
      </x:c>
      <x:c r="AD28" s="13" t="str">
        <x:v>The model generates action chunks and is evaluated on LIBERO Long tasks, but it does not implement search, MPC, or task decomposition.</x:v>
      </x:c>
      <x:c r="AE28" s="13" t="str">
        <x:v>No</x:v>
      </x:c>
      <x:c r="AF28" s="13" t="str">
        <x:v>Yes — action chunks are regenerated from current observations and recent frames</x:v>
      </x:c>
      <x:c r="AG28" s="13" t="str">
        <x:v>Local Controller</x:v>
      </x:c>
      <x:c r="AH28" s="13" t="str">
        <x:v>Imitation Learning; Vision-Language Pretraining; Predictive Representation Transfer</x:v>
      </x:c>
      <x:c r="AI28" s="13" t="str">
        <x:v>VLA; linear or OpenVLA-OFT action head</x:v>
      </x:c>
      <x:c r="AJ28" s="13" t="str">
        <x:v>Yes — frozen V-JEPA 2 and pretrained VLM/VLA backbones</x:v>
      </x:c>
      <x:c r="AK28" s="13" t="str">
        <x:v>Language; current multi-view RGB; two-frame video history; proprioception</x:v>
      </x:c>
      <x:c r="AL28" s="13" t="str">
        <x:v>Natural-language instruction</x:v>
      </x:c>
      <x:c r="AM28" s="13" t="str">
        <x:v>Discrete action tokens or continuous action chunks, depending on the base VLA</x:v>
      </x:c>
      <x:c r="AN28" s="13" t="str">
        <x:v>LIBERO; LIBERO-plus; RoboTwin2.0; CortexBench; custom real-world pick-and-place</x:v>
      </x:c>
      <x:c r="AO28" s="13" t="str">
        <x:v>Aloha-AgileX dual-arm simulation; Piper single-arm real robot; benchmark-specific simulated manipulators</x:v>
      </x:c>
      <x:c r="AP28" s="13" t="str">
        <x:v>Yes</x:v>
      </x:c>
      <x:c r="AQ28" s="13" t="str">
        <x:v>Yes</x:v>
      </x:c>
      <x:c r="AR28" s="13" t="str">
        <x:v>Shows that video-predictive V-JEPA 2 features provide task-relevant state information and policy priors that improve VLA sample efficiency and generalization.</x:v>
      </x:c>
      <x:c r="AS28" s="13" t="str">
        <x:v>Introduces early-fusion and gated cross-attention mechanisms for adding predictive video embeddings to both lightly trained and large-scale pretrained VLAs.</x:v>
      </x:c>
      <x:c r="AT28" s="13" t="str">
        <x:v>The method uses a simple two-frame predictive representation, evaluates only one real-world task, and does not learn a task-specific dynamics model or explicit planner.</x:v>
      </x:c>
      <x:c r="AU28" s="13" t="str">
        <x:v>Develop more principled fusion mechanisms and further exploit large-scale video-predictive pretraining for robust, generalizable embodied policies.</x:v>
      </x:c>
      <x:c r="AV28" s="13" t="str">
        <x:v>A frozen V-JEPA 2 encoder supplies predictive features, while the trained downstream model directly outputs actions rather than future environment states.</x:v>
      </x:c>
      <x:c r="AW28" s="13" t="str">
        <x:v>No model rollout or candidate action evaluation is described; predictive embeddings condition a standard VLA action model.</x:v>
      </x:c>
      <x:c r="AX28" s="13" t="str">
        <x:v>LIBERO Long performance is reported, but the method remains a chunked reactive policy rather than a long-horizon planner.</x:v>
      </x:c>
      <x:c r="AY28" s="13" t="str">
        <x:v>High</x:v>
      </x:c>
      <x:c r="AZ28" s="13" t="str">
        <x:v>JEPA-related representation-transfer paper, not a downstream JEPA world model. Include in long-horizon task evaluation but exclude from explicit-planner and world-model counts.</x:v>
      </x:c>
      <x:c r="BA28" s="13" t="str">
        <x:v>JEPA-VLA_ Video Predictive Embedding is Needed for VLA Models.txt</x:v>
      </x:c>
    </x:row>
    <x:row r="29">
      <x:c r="A29" s="13" t="str">
        <x:v>batch_06</x:v>
      </x:c>
      <x:c r="B29" s="13" t="str">
        <x:v>B06-003</x:v>
      </x:c>
      <x:c r="C29" s="13" t="str">
        <x:v>Learning Fine-Grained Bimanual Manipulation with Low-Cost Hardware</x:v>
      </x:c>
      <x:c r="D29" s="13" t="str">
        <x:v>Tony Z. Zhao; Vikash Kumar; Sergey Levine; Chelsea Finn</x:v>
      </x:c>
      <x:c r="E29" s="13" t="n">
        <x:v>2023</x:v>
      </x:c>
      <x:c r="F29" s="13" t="str">
        <x:v>Published at Robotics: Science and Systems 2023; an earlier public preprint date was not established from the supplied manuscript</x:v>
      </x:c>
      <x:c r="G29" s="13" t="str">
        <x:v>Robotics: Science and Systems (RSS)</x:v>
      </x:c>
      <x:c r="H29" s="13" t="str">
        <x:v>Peer-reviewed conference article</x:v>
      </x:c>
      <x:c r="I29" s="13" t="str">
        <x:v>Method</x:v>
      </x:c>
      <x:c r="J29" s="13" t="str"/>
      <x:c r="K29" s="13" t="str">
        <x:v>RSS 2023</x:v>
      </x:c>
      <x:c r="L29" s="13" t="str">
        <x:v>Yes</x:v>
      </x:c>
      <x:c r="M29" s="13" t="str">
        <x:v>ALOHA hardware designs, code, datasets, and project materials are publicly released.</x:v>
      </x:c>
      <x:c r="N29" s="13" t="str">
        <x:v>Fine-Grained Bimanual Manipulation</x:v>
      </x:c>
      <x:c r="O29" s="13" t="str">
        <x:v>Imitation Learning; Teleoperation; Action Chunking</x:v>
      </x:c>
      <x:c r="P29" s="13" t="str">
        <x:v>No</x:v>
      </x:c>
      <x:c r="Q29" s="13" t="str">
        <x:v>No</x:v>
      </x:c>
      <x:c r="R29" s="13" t="str">
        <x:v>No</x:v>
      </x:c>
      <x:c r="S29" s="13" t="str">
        <x:v>No</x:v>
      </x:c>
      <x:c r="T29" s="13" t="str">
        <x:v>None</x:v>
      </x:c>
      <x:c r="U29" s="13" t="str">
        <x:v>N/A — ACT directly maps visual and proprioceptive observations to future joint-action chunks.</x:v>
      </x:c>
      <x:c r="V29" s="13" t="str">
        <x:v>N/A</x:v>
      </x:c>
      <x:c r="W29" s="13" t="str">
        <x:v>Future sequence of absolute bimanual joint positions</x:v>
      </x:c>
      <x:c r="X29" s="13" t="str">
        <x:v>No</x:v>
      </x:c>
      <x:c r="Y29" s="13" t="str">
        <x:v>No</x:v>
      </x:c>
      <x:c r="Z29" s="13" t="str">
        <x:v>No</x:v>
      </x:c>
      <x:c r="AA29" s="13" t="str">
        <x:v>None — closed-loop action-chunk policy</x:v>
      </x:c>
      <x:c r="AB29" s="13" t="str">
        <x:v>N/A</x:v>
      </x:c>
      <x:c r="AC29" s="13" t="str">
        <x:v>None</x:v>
      </x:c>
      <x:c r="AD29" s="13" t="str">
        <x:v>ACT predicts overlapping action chunks to reduce effective trajectory length, but performs no search or model-based planning.</x:v>
      </x:c>
      <x:c r="AE29" s="13" t="str">
        <x:v>No</x:v>
      </x:c>
      <x:c r="AF29" s="13" t="str">
        <x:v>Yes — the policy is queried every timestep and temporally ensembles overlapping chunks</x:v>
      </x:c>
      <x:c r="AG29" s="13" t="str">
        <x:v>Local Controller</x:v>
      </x:c>
      <x:c r="AH29" s="13" t="str">
        <x:v>Imitation Learning; Conditional Variational Autoencoder</x:v>
      </x:c>
      <x:c r="AI29" s="13" t="str">
        <x:v>Action Chunking with Transformers (ACT)</x:v>
      </x:c>
      <x:c r="AJ29" s="13" t="str">
        <x:v>Yes — ResNet-18 visual backbones; policy trained from task demonstrations</x:v>
      </x:c>
      <x:c r="AK29" s="13" t="str">
        <x:v>Four RGB cameras; 14-DoF bimanual joint positions</x:v>
      </x:c>
      <x:c r="AL29" s="13" t="str">
        <x:v>Implicit task goal from task-specific demonstrations</x:v>
      </x:c>
      <x:c r="AM29" s="13" t="str">
        <x:v>Continuous 14-dimensional absolute joint-position commands</x:v>
      </x:c>
      <x:c r="AN29" s="13" t="str">
        <x:v>Two simulated bimanual tasks and six real-world ALOHA tasks, including Ziploc opening, battery insertion, cup opening, Velcro threading, tape preparation, and shoe placement</x:v>
      </x:c>
      <x:c r="AO29" s="13" t="str">
        <x:v>ALOHA: two ViperX follower arms with WidowX leader arms for teleoperation</x:v>
      </x:c>
      <x:c r="AP29" s="13" t="str">
        <x:v>Yes</x:v>
      </x:c>
      <x:c r="AQ29" s="13" t="str">
        <x:v>Yes</x:v>
      </x:c>
      <x:c r="AR29" s="13" t="str">
        <x:v>Introduces the low-cost ALOHA bimanual teleoperation platform and ACT, a transformer CVAE that predicts temporally ensembled action chunks.</x:v>
      </x:c>
      <x:c r="AS29" s="13" t="str">
        <x:v>Reduces imitation-learning compounding errors by predicting long action chunks while retaining closed-loop responsiveness through overlapping temporal ensembling.</x:v>
      </x:c>
      <x:c r="AT29" s="13" t="str">
        <x:v>Parallel-jaw grippers cannot perform many multi-finger or fingernail-dependent tasks, low-cost motors limit force, and ACT struggles with visually ambiguous deformable-object stages and unseen recovery states.</x:v>
      </x:c>
      <x:c r="AU29" s="13" t="str">
        <x:v>Not explicitly stated; the limitations motivate stronger hardware, richer sensing, more diverse data, and improved recovery and deformable-object learning.</x:v>
      </x:c>
      <x:c r="AV29" s="13" t="str">
        <x:v>The paper explicitly favors a learned closed-loop policy over modeling complex contact and deformation dynamics.</x:v>
      </x:c>
      <x:c r="AW29" s="13" t="str">
        <x:v>ACT directly generates k-step joint commands and averages overlapping predictions; it does not evaluate candidate trajectories through a model.</x:v>
      </x:c>
      <x:c r="AX29" s="13" t="str">
        <x:v>Real demonstrations span roughly 400–700 control steps, but each benchmark is an individual fine-manipulation skill rather than task-level long-horizon planning.</x:v>
      </x:c>
      <x:c r="AY29" s="13" t="str">
        <x:v>High</x:v>
      </x:c>
      <x:c r="AZ29" s="13" t="str">
        <x:v>Important action-chunking and hardware baseline; exclude from world-model and explicit-planning counts.</x:v>
      </x:c>
      <x:c r="BA29" s="13" t="str">
        <x:v>Learning Fine-Grained Bimanual Manipulation with Low-Cost Hardware.txt</x:v>
      </x:c>
    </x:row>
    <x:row r="30">
      <x:c r="A30" s="13" t="str">
        <x:v>batch_06</x:v>
      </x:c>
      <x:c r="B30" s="13" t="str">
        <x:v>B06-004</x:v>
      </x:c>
      <x:c r="C30" s="13" t="str">
        <x:v>Learning Latent Graph Dynamics for Visual Manipulation of Deformable Objects</x:v>
      </x:c>
      <x:c r="D30" s="13" t="str">
        <x:v>Xiao Ma; David Hsu; Wee Sun Lee</x:v>
      </x:c>
      <x:c r="E30" s="13" t="n">
        <x:v>2021</x:v>
      </x:c>
      <x:c r="F30" s="13" t="str">
        <x:v>First public appearance: arXiv:2104.12149 in April 2021; supplied revision dated 5 Mar 2022</x:v>
      </x:c>
      <x:c r="G30" s="13" t="str">
        <x:v>arXiv</x:v>
      </x:c>
      <x:c r="H30" s="13" t="str">
        <x:v>Preprint</x:v>
      </x:c>
      <x:c r="I30" s="13" t="str">
        <x:v>Method</x:v>
      </x:c>
      <x:c r="J30" s="13" t="str"/>
      <x:c r="K30" s="13" t="str">
        <x:v>arXiv:2104.12149</x:v>
      </x:c>
      <x:c r="L30" s="13" t="str">
        <x:v>Unknown</x:v>
      </x:c>
      <x:c r="M30" s="13" t="str">
        <x:v>A demonstration video is provided, but no code repository was identified in the supplied manuscript.</x:v>
      </x:c>
      <x:c r="N30" s="13" t="str">
        <x:v>Deformable Object Manipulation</x:v>
      </x:c>
      <x:c r="O30" s="13" t="str">
        <x:v>World Modeling; Planning; Deformable-Object Control</x:v>
      </x:c>
      <x:c r="P30" s="13" t="str">
        <x:v>No</x:v>
      </x:c>
      <x:c r="Q30" s="13" t="str">
        <x:v>No</x:v>
      </x:c>
      <x:c r="R30" s="13" t="str">
        <x:v>No</x:v>
      </x:c>
      <x:c r="S30" s="13" t="str">
        <x:v>Yes</x:v>
      </x:c>
      <x:c r="T30" s="13" t="str">
        <x:v>Object-Centric</x:v>
      </x:c>
      <x:c r="U30" s="13" t="str">
        <x:v>G-DOOM learns recurrent graph dynamics over unsupervised visual keypoints and tracks a history-dependent belief to handle self-occlusion.</x:v>
      </x:c>
      <x:c r="V30" s="13" t="str">
        <x:v>Object / Graph Latent</x:v>
      </x:c>
      <x:c r="W30" s="13" t="str">
        <x:v>Future keypoint features, recurrent belief state, and manipulation reward</x:v>
      </x:c>
      <x:c r="X30" s="13" t="str">
        <x:v>Yes</x:v>
      </x:c>
      <x:c r="Y30" s="13" t="str">
        <x:v>No</x:v>
      </x:c>
      <x:c r="Z30" s="13" t="str">
        <x:v>Yes</x:v>
      </x:c>
      <x:c r="AA30" s="13" t="str">
        <x:v>MPC; Graph-Guided CEM</x:v>
      </x:c>
      <x:c r="AB30" s="13" t="str">
        <x:v>Object-centric graph latent</x:v>
      </x:c>
      <x:c r="AC30" s="13" t="str">
        <x:v>Medium</x:v>
      </x:c>
      <x:c r="AD30" s="13" t="str">
        <x:v>Evaluation permits action sequences of up to 20 steps and repeatedly applies graph-based MPC.</x:v>
      </x:c>
      <x:c r="AE30" s="13" t="str">
        <x:v>No</x:v>
      </x:c>
      <x:c r="AF30" s="13" t="str">
        <x:v>Yes</x:v>
      </x:c>
      <x:c r="AG30" s="13" t="str">
        <x:v>Full End-to-End Planner</x:v>
      </x:c>
      <x:c r="AH30" s="13" t="str">
        <x:v>Self-Supervised Representation Learning; Contrastive Dynamics Learning</x:v>
      </x:c>
      <x:c r="AI30" s="13" t="str">
        <x:v>None — actions selected through MPC</x:v>
      </x:c>
      <x:c r="AJ30" s="13" t="str">
        <x:v>Yes — unsupervised Transporter keypoint extractor before graph-dynamics training</x:v>
      </x:c>
      <x:c r="AK30" s="13" t="str">
        <x:v>Top-down masked depth images</x:v>
      </x:c>
      <x:c r="AL30" s="13" t="str">
        <x:v>Goal image or learned reward objective</x:v>
      </x:c>
      <x:c r="AM30" s="13" t="str">
        <x:v>Continuous planar keypoint-centered manipulation actions</x:v>
      </x:c>
      <x:c r="AN30" s="13" t="str">
        <x:v>Rope straightening; cloth flattening; cloth folding in Nvidia Flex / SoftGym</x:v>
      </x:c>
      <x:c r="AO30" s="13" t="str">
        <x:v>Kinova Gen3 with Robotiq gripper and Kinect 2.0 depth camera</x:v>
      </x:c>
      <x:c r="AP30" s="13" t="str">
        <x:v>Yes</x:v>
      </x:c>
      <x:c r="AQ30" s="13" t="str">
        <x:v>Yes</x:v>
      </x:c>
      <x:c r="AR30" s="13" t="str">
        <x:v>Learns a sparse recurrent graph world model over visual keypoints and uses it for real-time MPC on rope and cloth manipulation.</x:v>
      </x:c>
      <x:c r="AS30" s="13" t="str">
        <x:v>Combines unsupervised keypoint discovery, recurrent graph belief tracking, contrastive dynamics learning, and keypoint-guided CEM search.</x:v>
      </x:c>
      <x:c r="AT30" s="13" t="str">
        <x:v>The evaluated dynamics are relatively smooth and simple; harder tasks such as knot tying or complex garment folding require larger datasets, stronger dynamics models, and longer-horizon planning.</x:v>
      </x:c>
      <x:c r="AU30" s="13" t="str">
        <x:v>Scale dynamics learning and planning to complex deformable-object tasks requiring richer data and long-horizon reasoning.</x:v>
      </x:c>
      <x:c r="AV30" s="13" t="str">
        <x:v>An action-conditioned recurrent GNN predicts the evolution of a sparse keypoint-based object representation.</x:v>
      </x:c>
      <x:c r="AW30" s="13" t="str">
        <x:v>Graph-based MPC initializes candidate action sequences around detected keypoints and selects actions using predicted cumulative reward.</x:v>
      </x:c>
      <x:c r="AX30" s="13" t="str">
        <x:v>The maximum evaluation sequence is 20 steps, which is medium under the dataset rule and not task-level long-horizon planning.</x:v>
      </x:c>
      <x:c r="AY30" s="13" t="str">
        <x:v>High</x:v>
      </x:c>
      <x:c r="AZ30" s="13" t="str">
        <x:v>Core structured latent world-model and MPC paper; useful for object-centric and deformable-manipulation analyses.</x:v>
      </x:c>
      <x:c r="BA30" s="13" t="str">
        <x:v>Learning Latent Graph Dynamics for Deformable Object Manipulation..txt</x:v>
      </x:c>
    </x:row>
    <x:row r="31">
      <x:c r="A31" s="13" t="str">
        <x:v>batch_06</x:v>
      </x:c>
      <x:c r="B31" s="13" t="str">
        <x:v>B06-005</x:v>
      </x:c>
      <x:c r="C31" s="13" t="str">
        <x:v>Learning Robot Manipulation from Audio World Models</x:v>
      </x:c>
      <x:c r="D31" s="13" t="str">
        <x:v>Fan Zhang; Michael Gienger</x:v>
      </x:c>
      <x:c r="E31" s="13" t="n">
        <x:v>2025</x:v>
      </x:c>
      <x:c r="F31" s="13" t="str">
        <x:v>First public appearance: arXiv:2512.08405 on 9 Dec 2025</x:v>
      </x:c>
      <x:c r="G31" s="13" t="str">
        <x:v>arXiv</x:v>
      </x:c>
      <x:c r="H31" s="13" t="str">
        <x:v>Preprint</x:v>
      </x:c>
      <x:c r="I31" s="13" t="str">
        <x:v>Method</x:v>
      </x:c>
      <x:c r="J31" s="13" t="str"/>
      <x:c r="K31" s="13" t="str">
        <x:v>arXiv:2512.08405</x:v>
      </x:c>
      <x:c r="L31" s="13" t="str">
        <x:v>Unknown</x:v>
      </x:c>
      <x:c r="M31" s="13" t="str">
        <x:v>No code or project repository was identified in the supplied manuscript.</x:v>
      </x:c>
      <x:c r="N31" s="13" t="str">
        <x:v>Manipulation; Audio-Visual Robot Learning; Dexterous Control</x:v>
      </x:c>
      <x:c r="O31" s="13" t="str">
        <x:v>World Modeling; Policy Learning; Multimodal Prediction</x:v>
      </x:c>
      <x:c r="P31" s="13" t="str">
        <x:v>No</x:v>
      </x:c>
      <x:c r="Q31" s="13" t="str">
        <x:v>No</x:v>
      </x:c>
      <x:c r="R31" s="13" t="str">
        <x:v>No</x:v>
      </x:c>
      <x:c r="S31" s="13" t="str">
        <x:v>Yes</x:v>
      </x:c>
      <x:c r="T31" s="13" t="str">
        <x:v>Diffusion</x:v>
      </x:c>
      <x:c r="U31" s="13" t="str">
        <x:v>A transformer latent flow-matching model predicts future audio spectrogram or MIDI representations, which are decoded and supplied to a separate robot policy.</x:v>
      </x:c>
      <x:c r="V31" s="13" t="str">
        <x:v>Latent Audio</x:v>
      </x:c>
      <x:c r="W31" s="13" t="str">
        <x:v>Future spectrogram or MIDI sequence</x:v>
      </x:c>
      <x:c r="X31" s="13" t="str">
        <x:v>No</x:v>
      </x:c>
      <x:c r="Y31" s="13" t="str">
        <x:v>No</x:v>
      </x:c>
      <x:c r="Z31" s="13" t="str">
        <x:v>No</x:v>
      </x:c>
      <x:c r="AA31" s="13" t="str">
        <x:v>None — predicted audio is used as lookahead context for a direct policy</x:v>
      </x:c>
      <x:c r="AB31" s="13" t="str">
        <x:v>N/A</x:v>
      </x:c>
      <x:c r="AC31" s="13" t="str">
        <x:v>None</x:v>
      </x:c>
      <x:c r="AD31" s="13" t="str">
        <x:v>The world model predicts approximately 2.56 seconds of audio for water filling or 8 seconds of MIDI, while the downstream policies directly output actions.</x:v>
      </x:c>
      <x:c r="AE31" s="13" t="str">
        <x:v>No</x:v>
      </x:c>
      <x:c r="AF31" s="13" t="str">
        <x:v>Yes — water-filling predictions and actions are refreshed in closed loop; music is extended autoregressively</x:v>
      </x:c>
      <x:c r="AG31" s="13" t="str">
        <x:v>Local Controller</x:v>
      </x:c>
      <x:c r="AH31" s="13" t="str">
        <x:v>Generative Flow Matching; Imitation Learning; Reinforcement Learning</x:v>
      </x:c>
      <x:c r="AI31" s="13" t="str">
        <x:v>Flow-Matching Manipulation Policy; Soft Actor-Critic for piano playing</x:v>
      </x:c>
      <x:c r="AJ31" s="13" t="str">
        <x:v>Yes — AudioMAE or MusicVAE audio representations</x:v>
      </x:c>
      <x:c r="AK31" s="13" t="str">
        <x:v>Audio spectrogram or MIDI; RGB image for water filling</x:v>
      </x:c>
      <x:c r="AL31" s="13" t="str">
        <x:v>Predicted future audio dynamics or generated future note goals</x:v>
      </x:c>
      <x:c r="AM31" s="13" t="str">
        <x:v>Continuous 6-DoF end-effector velocity chunks; simulated piano joint actions</x:v>
      </x:c>
      <x:c r="AN31" s="13" t="str">
        <x:v>Custom real-world water filling; RoboPianist-style simulated piano duet on two songs</x:v>
      </x:c>
      <x:c r="AO31" s="13" t="str">
        <x:v>Kinova Gen3 real robot; simulated piano-playing dexterous agent</x:v>
      </x:c>
      <x:c r="AP31" s="13" t="str">
        <x:v>Yes</x:v>
      </x:c>
      <x:c r="AQ31" s="13" t="str">
        <x:v>Yes</x:v>
      </x:c>
      <x:c r="AR31" s="13" t="str">
        <x:v>Introduces an audio world model that predicts physically informative future sound and uses those predictions to improve robot policies when vision is ambiguous.</x:v>
      </x:c>
      <x:c r="AS31" s="13" t="str">
        <x:v>Treats pitch and rhythm as predictable environment dynamics rather than merely adding audio as an auxiliary current observation.</x:v>
      </x:c>
      <x:c r="AT31" s="13" t="str">
        <x:v>The evaluation contains only two specialized tasks, the audio world model is action-free, and generated futures guide a policy without explicit counterfactual action evaluation.</x:v>
      </x:c>
      <x:c r="AU31" s="13" t="str">
        <x:v>Extend audio world modeling to more complex, fine-grained, and dexterous manipulation tasks.</x:v>
      </x:c>
      <x:c r="AV31" s="13" t="str">
        <x:v>Latent flow matching predicts future audio states that encode filling progress or upcoming musical structure.</x:v>
      </x:c>
      <x:c r="AW31" s="13" t="str">
        <x:v>The predicted audio is concatenated into a flow-matching or SAC policy; no candidate action search or world-model-conditioned MPC is used.</x:v>
      </x:c>
      <x:c r="AX31" s="13" t="str">
        <x:v>Future audio spans seconds, but the tasks are individual skills and the action policy horizon is 16 steps rather than task-level long-horizon planning.</x:v>
      </x:c>
      <x:c r="AY31" s="13" t="str">
        <x:v>High</x:v>
      </x:c>
      <x:c r="AZ31" s="13" t="str">
        <x:v>Core multimodal world-model paper, but exclude from explicit-planner counts because the model supplies predictive context to a direct policy.</x:v>
      </x:c>
      <x:c r="BA31" s="13" t="str">
        <x:v>Learning Robot Manipulation from Audio World Models.txt</x:v>
      </x:c>
    </x:row>
    <x:row r="32">
      <x:c r="A32" s="13" t="str">
        <x:v>batch_07</x:v>
      </x:c>
      <x:c r="B32" s="13" t="str">
        <x:v>B07-001</x:v>
      </x:c>
      <x:c r="C32" s="13" t="str">
        <x:v>Long-Horizon Multi-Robot Rearrangement Planning for Construction Assembly</x:v>
      </x:c>
      <x:c r="D32" s="13" t="str">
        <x:v>Valentin N. Hartmann; Andreas Orthey; Danny Driess; Ozgur S. Oguz; Marc Toussaint</x:v>
      </x:c>
      <x:c r="E32" s="13" t="n">
        <x:v>2021</x:v>
      </x:c>
      <x:c r="F32" s="13" t="str">
        <x:v>First public appearance: arXiv:2106.02489 in Jun 2021; supplied revision dated 7 Mar 2022</x:v>
      </x:c>
      <x:c r="G32" s="13" t="str">
        <x:v>arXiv</x:v>
      </x:c>
      <x:c r="H32" s="13" t="str">
        <x:v>Preprint</x:v>
      </x:c>
      <x:c r="I32" s="13" t="str">
        <x:v>Method</x:v>
      </x:c>
      <x:c r="J32" s="13" t="str"/>
      <x:c r="K32" s="13" t="str">
        <x:v>arXiv:2106.02489</x:v>
      </x:c>
      <x:c r="L32" s="13" t="str">
        <x:v>Unknown</x:v>
      </x:c>
      <x:c r="M32" s="13" t="str">
        <x:v>The experiments use the publicly available RAI framework, but a paper-specific code release was not established from the supplied manuscript.</x:v>
      </x:c>
      <x:c r="N32" s="13" t="str">
        <x:v>Construction Assembly; Multi-Robot Manipulation; Task and Motion Planning</x:v>
      </x:c>
      <x:c r="O32" s="13" t="str">
        <x:v>Planning; Multi-Robot Coordination; Construction Assembly</x:v>
      </x:c>
      <x:c r="P32" s="13" t="str">
        <x:v>Yes</x:v>
      </x:c>
      <x:c r="Q32" s="13" t="str">
        <x:v>No</x:v>
      </x:c>
      <x:c r="R32" s="13" t="str">
        <x:v>No</x:v>
      </x:c>
      <x:c r="S32" s="13" t="str">
        <x:v>No</x:v>
      </x:c>
      <x:c r="T32" s="13" t="str">
        <x:v>None</x:v>
      </x:c>
      <x:c r="U32" s="13" t="str">
        <x:v>N/A — the method uses explicit symbolic, geometric, and space-time planning models rather than learned dynamics.</x:v>
      </x:c>
      <x:c r="V32" s="13" t="str">
        <x:v>N/A</x:v>
      </x:c>
      <x:c r="W32" s="13" t="str">
        <x:v>N/A</x:v>
      </x:c>
      <x:c r="X32" s="13" t="str">
        <x:v>N/A</x:v>
      </x:c>
      <x:c r="Y32" s="13" t="str">
        <x:v>No</x:v>
      </x:c>
      <x:c r="Z32" s="13" t="str">
        <x:v>Yes</x:v>
      </x:c>
      <x:c r="AA32" s="13" t="str">
        <x:v>Hierarchical Task and Motion Planning; Optimization; Bi-directional Space-Time RRT</x:v>
      </x:c>
      <x:c r="AB32" s="13" t="str">
        <x:v>Hybrid: symbolic task assignments, manipulation constraints, and continuous space-time trajectories</x:v>
      </x:c>
      <x:c r="AC32" s="13" t="str">
        <x:v>Long</x:v>
      </x:c>
      <x:c r="AD32" s="13" t="str">
        <x:v>The planner solves construction sequences with up to 113 placed parts and 12 heterogeneous agents by composing limited-horizon subproblems.</x:v>
      </x:c>
      <x:c r="AE32" s="13" t="str">
        <x:v>Yes</x:v>
      </x:c>
      <x:c r="AF32" s="13" t="str">
        <x:v>No — the authors state that the current system is too slow for online replanning</x:v>
      </x:c>
      <x:c r="AG32" s="13" t="str">
        <x:v>Full End-to-End Planner</x:v>
      </x:c>
      <x:c r="AH32" s="13" t="str">
        <x:v>None — optimization and sampling-based planning</x:v>
      </x:c>
      <x:c r="AI32" s="13" t="str">
        <x:v>None</x:v>
      </x:c>
      <x:c r="AJ32" s="13" t="str">
        <x:v>No</x:v>
      </x:c>
      <x:c r="AK32" s="13" t="str">
        <x:v>Structured architectural model; robot and object configurations; manipulation constraints</x:v>
      </x:c>
      <x:c r="AL32" s="13" t="str">
        <x:v>Target assembly geometry and object goal poses</x:v>
      </x:c>
      <x:c r="AM32" s="13" t="str">
        <x:v>Hybrid: discrete task assignments and continuous multi-robot trajectories</x:v>
      </x:c>
      <x:c r="AN32" s="13" t="str">
        <x:v>Tower (15 parts); wall (36); well (52); pavilion (113); handover; real six-box stacking</x:v>
      </x:c>
      <x:c r="AO32" s="13" t="str">
        <x:v>Simulated mobile manipulator, mobile KUKA arm, and crane; two real Panda arms</x:v>
      </x:c>
      <x:c r="AP32" s="13" t="str">
        <x:v>Yes</x:v>
      </x:c>
      <x:c r="AQ32" s="13" t="str">
        <x:v>Yes</x:v>
      </x:c>
      <x:c r="AR32" s="13" t="str">
        <x:v>Decomposes long-horizon multi-robot construction TAMP into tractable subproblems and coordinates asynchronous agents through space-time planning.</x:v>
      </x:c>
      <x:c r="AS32" s="13" t="str">
        <x:v>Combines time-embedded keyframe optimization with a bidirectional space-time RRT that plans to unknown arrival times while respecting previously fixed robot trajectories.</x:v>
      </x:c>
      <x:c r="AT32" s="13" t="str">
        <x:v>Planning is too slow for online replanning; the formulation assumes monotonic rearrangement, light objects, known start and goal poses, and controlled execution without fastening or structural-support modeling.</x:v>
      </x:c>
      <x:c r="AU32" s="13" t="str">
        <x:v>Improve keyframe generation and multi-query planning, and incorporate spatial and temporal execution uncertainty for real construction deployment.</x:v>
      </x:c>
      <x:c r="AV32" s="13" t="str">
        <x:v>The method uses logic-geometric programming and explicit collision and manipulation constraints rather than learning environment dynamics.</x:v>
      </x:c>
      <x:c r="AW32" s="13" t="str">
        <x:v>Limited-horizon task assignments, joint manipulation optimization, and bidirectional space-time RRT paths are combined into a complete assembly plan.</x:v>
      </x:c>
      <x:c r="AX32" s="13" t="str">
        <x:v>Experiments scale to 113 parts and 12 agents, and the paper explicitly targets long-horizon multi-robot assembly.</x:v>
      </x:c>
      <x:c r="AY32" s="13" t="str">
        <x:v>High</x:v>
      </x:c>
      <x:c r="AZ32" s="13" t="str">
        <x:v>Core classical long-horizon multi-robot TAMP paper; highly relevant as a non-learned planning baseline.</x:v>
      </x:c>
      <x:c r="BA32" s="13" t="str">
        <x:v>Long-Horizon Multi-Robot Rearrangement Planning for Construction Assembly.txt</x:v>
      </x:c>
    </x:row>
    <x:row r="33">
      <x:c r="A33" s="13" t="str">
        <x:v>batch_07</x:v>
      </x:c>
      <x:c r="B33" s="13" t="str">
        <x:v>B07-002</x:v>
      </x:c>
      <x:c r="C33" s="13" t="str">
        <x:v>Maintenance Automation: Methods for Robotics Manipulation Planning and Execution</x:v>
      </x:c>
      <x:c r="D33" s="13" t="str">
        <x:v>Christian Friedrich; Ralf Gulde; Armin Lechler; Alexander Verl</x:v>
      </x:c>
      <x:c r="E33" s="13" t="n">
        <x:v>2022</x:v>
      </x:c>
      <x:c r="F33" s="13" t="str">
        <x:v>Accepted by IEEE Transactions on Automation Science and Engineering in May 2022</x:v>
      </x:c>
      <x:c r="G33" s="13" t="str">
        <x:v>IEEE Transactions on Automation Science and Engineering</x:v>
      </x:c>
      <x:c r="H33" s="13" t="str">
        <x:v>Peer-reviewed journal article / accepted preprint</x:v>
      </x:c>
      <x:c r="I33" s="13" t="str">
        <x:v>Method</x:v>
      </x:c>
      <x:c r="J33" s="13" t="str"/>
      <x:c r="K33" s="13" t="str">
        <x:v>Not identified in supplied manuscript</x:v>
      </x:c>
      <x:c r="L33" s="13" t="str">
        <x:v>Unknown</x:v>
      </x:c>
      <x:c r="M33" s="13" t="str">
        <x:v>The system uses ROS and a public CANopen stack, but a complete paper-specific implementation was not identified.</x:v>
      </x:c>
      <x:c r="N33" s="13" t="str">
        <x:v>Industrial Manipulation; Maintenance; Assembly and Disassembly</x:v>
      </x:c>
      <x:c r="O33" s="13" t="str">
        <x:v>Planning; Execution; Maintenance Automation</x:v>
      </x:c>
      <x:c r="P33" s="13" t="str">
        <x:v>Yes</x:v>
      </x:c>
      <x:c r="Q33" s="13" t="str">
        <x:v>No</x:v>
      </x:c>
      <x:c r="R33" s="13" t="str">
        <x:v>No</x:v>
      </x:c>
      <x:c r="S33" s="13" t="str">
        <x:v>No</x:v>
      </x:c>
      <x:c r="T33" s="13" t="str">
        <x:v>None</x:v>
      </x:c>
      <x:c r="U33" s="13" t="str">
        <x:v>N/A — the system uses CAD, RGB-D perception, symbolic relations, and explicit robot-control models.</x:v>
      </x:c>
      <x:c r="V33" s="13" t="str">
        <x:v>N/A</x:v>
      </x:c>
      <x:c r="W33" s="13" t="str">
        <x:v>N/A</x:v>
      </x:c>
      <x:c r="X33" s="13" t="str">
        <x:v>N/A</x:v>
      </x:c>
      <x:c r="Y33" s="13" t="str">
        <x:v>No</x:v>
      </x:c>
      <x:c r="Z33" s="13" t="str">
        <x:v>Yes</x:v>
      </x:c>
      <x:c r="AA33" s="13" t="str">
        <x:v>Hierarchical Symbolic Planning; Sampling-Based Path Planning; Runtime Skill Decomposition</x:v>
      </x:c>
      <x:c r="AB33" s="13" t="str">
        <x:v>Hybrid: symbolic component relations, geometric paths, and executable skill primitives</x:v>
      </x:c>
      <x:c r="AC33" s="13" t="str">
        <x:v>Long</x:v>
      </x:c>
      <x:c r="AD33" s="13" t="str">
        <x:v>Real tasks last roughly 271–544 seconds; the valve example expands into 29 disassembly skill steps followed by reassembly.</x:v>
      </x:c>
      <x:c r="AE33" s="13" t="str">
        <x:v>Yes</x:v>
      </x:c>
      <x:c r="AF33" s="13" t="str">
        <x:v>Yes — the runtime interpreter adapts skill execution and can select an alternative plan after failure, although robust alternative-plan generation remains an open problem</x:v>
      </x:c>
      <x:c r="AG33" s="13" t="str">
        <x:v>Full End-to-End Planner</x:v>
      </x:c>
      <x:c r="AH33" s="13" t="str">
        <x:v>None — symbolic, geometric, and rule-based planning</x:v>
      </x:c>
      <x:c r="AI33" s="13" t="str">
        <x:v>Reactive Skill-Primitive Library with hybrid control</x:v>
      </x:c>
      <x:c r="AJ33" s="13" t="str">
        <x:v>No</x:v>
      </x:c>
      <x:c r="AK33" s="13" t="str">
        <x:v>CAD; RGB-D; force-torque sensing; robot and object state</x:v>
      </x:c>
      <x:c r="AL33" s="13" t="str">
        <x:v>Symbolic assembly or disassembly goal</x:v>
      </x:c>
      <x:c r="AM33" s="13" t="str">
        <x:v>Hybrid: manipulation primitives, Cartesian velocity commands, tool actions, and position/force/visual-servo control</x:v>
      </x:c>
      <x:c r="AN33" s="13" t="str">
        <x:v>Peg-in-hole; panel assembly; lubricant exchange; valve disassembly and reassembly</x:v>
      </x:c>
      <x:c r="AO33" s="13" t="str">
        <x:v>Schunk LWA4p with Schunk FTM 75 force-torque sensor and Kinect v2</x:v>
      </x:c>
      <x:c r="AP33" s="13" t="str">
        <x:v>No</x:v>
      </x:c>
      <x:c r="AQ33" s="13" t="str">
        <x:v>Yes</x:v>
      </x:c>
      <x:c r="AR33" s="13" t="str">
        <x:v>Integrates task planning, environment modeling, path planning, symbolic-plan interpretation, and hybrid control into a complete autonomous maintenance system.</x:v>
      </x:c>
      <x:c r="AS33" s="13" t="str">
        <x:v>Transforms general symbolic manipulation primitives into sensor-aware executable skill sequences at runtime, bridging planning and practical robot control.</x:v>
      </x:c>
      <x:c r="AT33" s="13" t="str">
        <x:v>The system currently supports linear monotonic plans and one arm; success is limited by sensing, controller speed, tooling, wear, corrosion, and insufficient recovery strategies.</x:v>
      </x:c>
      <x:c r="AU33" s="13" t="str">
        <x:v>Extend to dual-arm manipulation, non-monotonic subassemblies, alternative-plan generation, and more reliable execution under component wear and corrosion.</x:v>
      </x:c>
      <x:c r="AV33" s="13" t="str">
        <x:v>Current environment state is fused from CAD and sensors, but no learned predictive transition model is used.</x:v>
      </x:c>
      <x:c r="AW33" s="13" t="str">
        <x:v>A task planner produces symbolic manipulation primitives, a path planner supplies trajectories, and a runtime interpreter expands them into controlled skills.</x:v>
      </x:c>
      <x:c r="AX33" s="13" t="str">
        <x:v>The four real applications require multi-stage autonomous sequences lasting several minutes, including complete disassembly and reassembly.</x:v>
      </x:c>
      <x:c r="AY33" s="13" t="str">
        <x:v>High</x:v>
      </x:c>
      <x:c r="AZ33" s="13" t="str">
        <x:v>Core industrial long-horizon planning-and-execution system; not a learned world model.</x:v>
      </x:c>
      <x:c r="BA33" s="13" t="str">
        <x:v>Maintenance Automation_ Methods for Robotics Manipulation Planning and Execution.txt</x:v>
      </x:c>
    </x:row>
    <x:row r="34">
      <x:c r="A34" s="13" t="str">
        <x:v>batch_07</x:v>
      </x:c>
      <x:c r="B34" s="13" t="str">
        <x:v>B07-003</x:v>
      </x:c>
      <x:c r="C34" s="13" t="str">
        <x:v>Mem-World: Memory-Augmented Action-Conditioned World Models for Persistent Robot Manipulation</x:v>
      </x:c>
      <x:c r="D34" s="13" t="str">
        <x:v>Zirui Zheng; Jiaqian Yu; Xiongfeng Peng; Jun Shi; Mingyi Li; Chao Zhang; Weiming Li; Dong Wang; Huchuan Lu; Xu Jia</x:v>
      </x:c>
      <x:c r="E34" s="13" t="n">
        <x:v>2026</x:v>
      </x:c>
      <x:c r="F34" s="13" t="str">
        <x:v>First public appearance: arXiv:2606.18960 in Jun 2026</x:v>
      </x:c>
      <x:c r="G34" s="13" t="str">
        <x:v>arXiv</x:v>
      </x:c>
      <x:c r="H34" s="13" t="str">
        <x:v>Preprint</x:v>
      </x:c>
      <x:c r="I34" s="13" t="str">
        <x:v>Method</x:v>
      </x:c>
      <x:c r="J34" s="13" t="str"/>
      <x:c r="K34" s="13" t="str">
        <x:v>arXiv:2606.18960</x:v>
      </x:c>
      <x:c r="L34" s="13" t="str">
        <x:v>Unknown</x:v>
      </x:c>
      <x:c r="M34" s="13" t="str">
        <x:v>No public code repository was identified in the supplied manuscript.</x:v>
      </x:c>
      <x:c r="N34" s="13" t="str">
        <x:v>Manipulation; Robot World Simulation; Policy Evaluation</x:v>
      </x:c>
      <x:c r="O34" s="13" t="str">
        <x:v>World Modeling; Long-Horizon Memory; Policy Evaluation and Data Generation</x:v>
      </x:c>
      <x:c r="P34" s="13" t="str">
        <x:v>Yes</x:v>
      </x:c>
      <x:c r="Q34" s="13" t="str">
        <x:v>No</x:v>
      </x:c>
      <x:c r="R34" s="13" t="str">
        <x:v>No</x:v>
      </x:c>
      <x:c r="S34" s="13" t="str">
        <x:v>Yes</x:v>
      </x:c>
      <x:c r="T34" s="13" t="str">
        <x:v>Diffusion</x:v>
      </x:c>
      <x:c r="U34" s="13" t="str">
        <x:v>A Ctrl-World-based multi-view action-conditioned video model augmented with W-VMem, a temporally aware 4D surfel-indexed wrist-view memory.</x:v>
      </x:c>
      <x:c r="V34" s="13" t="str">
        <x:v>Pixel / Observation</x:v>
      </x:c>
      <x:c r="W34" s="13" t="str">
        <x:v>Future multi-view RGB observations</x:v>
      </x:c>
      <x:c r="X34" s="13" t="str">
        <x:v>Yes</x:v>
      </x:c>
      <x:c r="Y34" s="13" t="str">
        <x:v>Yes</x:v>
      </x:c>
      <x:c r="Z34" s="13" t="str">
        <x:v>No</x:v>
      </x:c>
      <x:c r="AA34" s="13" t="str">
        <x:v>None — used for policy evaluation and synthetic-data generation rather than action search</x:v>
      </x:c>
      <x:c r="AB34" s="13" t="str">
        <x:v>N/A</x:v>
      </x:c>
      <x:c r="AC34" s="13" t="str">
        <x:v>None</x:v>
      </x:c>
      <x:c r="AD34" s="13" t="str">
        <x:v>The model autoregressively generates 20-step, 20-second rollouts, but does not optimize candidate action sequences.</x:v>
      </x:c>
      <x:c r="AE34" s="13" t="str">
        <x:v>No</x:v>
      </x:c>
      <x:c r="AF34" s="13" t="str">
        <x:v>No — it rolls out supplied policy or replay action chunks</x:v>
      </x:c>
      <x:c r="AG34" s="13" t="str">
        <x:v>None</x:v>
      </x:c>
      <x:c r="AH34" s="13" t="str">
        <x:v>Generative Video World Modeling; Temporal-Attention Fine-Tuning</x:v>
      </x:c>
      <x:c r="AI34" s="13" t="str">
        <x:v>World-model evaluator and synthetic-data engine</x:v>
      </x:c>
      <x:c r="AJ34" s="13" t="str">
        <x:v>Yes — built on a pretrained Ctrl-World video world model</x:v>
      </x:c>
      <x:c r="AK34" s="13" t="str">
        <x:v>Three RGB views: one wrist camera and two third-person cameras; robot actions and camera geometry</x:v>
      </x:c>
      <x:c r="AL34" s="13" t="str">
        <x:v>Task-specific action sequence or policy rollout</x:v>
      </x:c>
      <x:c r="AM34" s="13" t="str">
        <x:v>Continuous robot action chunks supplied by a policy or replay trajectory</x:v>
      </x:c>
      <x:c r="AN34" s="13" t="str">
        <x:v>DROID replay consistency evaluation; real-world policy evaluation; three long-horizon policy-improvement tasks</x:v>
      </x:c>
      <x:c r="AO34" s="13" t="str">
        <x:v>Franka Emika Panda with two external cameras and one wrist camera</x:v>
      </x:c>
      <x:c r="AP34" s="13" t="str">
        <x:v>No — the learned world model acts as a simulator, but training and evaluation use real robot data</x:v>
      </x:c>
      <x:c r="AQ34" s="13" t="str">
        <x:v>Yes</x:v>
      </x:c>
      <x:c r="AR34" s="13" t="str">
        <x:v>Adds geometry-aware, temporally indexed memory to an action-conditioned multi-view video world model to preserve objects across occlusion and wrist-camera motion.</x:v>
      </x:c>
      <x:c r="AS34" s="13" t="str">
        <x:v>Retrieves non-redundant historical wrist observations by rendering dynamic surfels from future action-derived camera viewpoints.</x:v>
      </x:c>
      <x:c r="AT34" s="13" t="str">
        <x:v>Rollouts depend on an informative initial wrist view and do not enforce physical contact constraints, so visually plausible but physically impossible interactions can be generated.</x:v>
      </x:c>
      <x:c r="AU34" s="13" t="str">
        <x:v>Improve cross-view persistence and add physics-aware signals such as contact and force to increase rollout fidelity.</x:v>
      </x:c>
      <x:c r="AV34" s="13" t="str">
        <x:v>Given current and retrieved historical observations plus future actions, the model generates subsequent multi-view observations and updates its memory autoregressively.</x:v>
      </x:c>
      <x:c r="AW34" s="13" t="str">
        <x:v>The world model evaluates supplied policies and generates post-training data; it does not conduct MPC, search, or candidate-plan selection.</x:v>
      </x:c>
      <x:c r="AX34" s="13" t="str">
        <x:v>The method targets persistent long-horizon rollouts and improves policy success from 58% to 72% on three long-horizon tasks.</x:v>
      </x:c>
      <x:c r="AY34" s="13" t="str">
        <x:v>High</x:v>
      </x:c>
      <x:c r="AZ34" s="13" t="str">
        <x:v>Core long-horizon video world model, but exclude from explicit-planning counts.</x:v>
      </x:c>
      <x:c r="BA34" s="13" t="str">
        <x:v>Mem-World_ Memory-Augmented Action-Conditioned World Models for Persistent Robot Manipulation.txt</x:v>
      </x:c>
    </x:row>
    <x:row r="35">
      <x:c r="A35" s="13" t="str">
        <x:v>batch_07</x:v>
      </x:c>
      <x:c r="B35" s="13" t="str">
        <x:v>B07-004</x:v>
      </x:c>
      <x:c r="C35" s="13" t="str">
        <x:v>Mesh-based Dynamics with Occlusion Reasoning for Cloth Manipulation</x:v>
      </x:c>
      <x:c r="D35" s="13" t="str">
        <x:v>Zixuan Huang; Xingyu Lin; David Held</x:v>
      </x:c>
      <x:c r="E35" s="13" t="n">
        <x:v>2022</x:v>
      </x:c>
      <x:c r="F35" s="13" t="str">
        <x:v>Published at Robotics: Science and Systems 2022</x:v>
      </x:c>
      <x:c r="G35" s="13" t="str">
        <x:v>Robotics: Science and Systems (RSS)</x:v>
      </x:c>
      <x:c r="H35" s="13" t="str">
        <x:v>Peer-reviewed conference article</x:v>
      </x:c>
      <x:c r="I35" s="13" t="str">
        <x:v>Method</x:v>
      </x:c>
      <x:c r="J35" s="13" t="str"/>
      <x:c r="K35" s="13" t="str">
        <x:v>RSS 2022</x:v>
      </x:c>
      <x:c r="L35" s="13" t="str">
        <x:v>Unknown</x:v>
      </x:c>
      <x:c r="M35" s="13" t="str">
        <x:v>A project website with videos and visualizations is provided, but a code release was not established from the supplied paper.</x:v>
      </x:c>
      <x:c r="N35" s="13" t="str">
        <x:v>Deformable Object Manipulation; Cloth Manipulation</x:v>
      </x:c>
      <x:c r="O35" s="13" t="str">
        <x:v>World Modeling; State Estimation; Planning</x:v>
      </x:c>
      <x:c r="P35" s="13" t="str">
        <x:v>No</x:v>
      </x:c>
      <x:c r="Q35" s="13" t="str">
        <x:v>No</x:v>
      </x:c>
      <x:c r="R35" s="13" t="str">
        <x:v>No</x:v>
      </x:c>
      <x:c r="S35" s="13" t="str">
        <x:v>Yes</x:v>
      </x:c>
      <x:c r="T35" s="13" t="str">
        <x:v>Object-Centric</x:v>
      </x:c>
      <x:c r="U35" s="13" t="str">
        <x:v>MEDOR reconstructs the full cloth mesh, refines it with self-supervised test-time optimization, and predicts mesh dynamics with a graph neural network.</x:v>
      </x:c>
      <x:c r="V35" s="13" t="str">
        <x:v>Object / Mesh State</x:v>
      </x:c>
      <x:c r="W35" s="13" t="str">
        <x:v>Future cloth mesh vertex dynamics and task reward</x:v>
      </x:c>
      <x:c r="X35" s="13" t="str">
        <x:v>Yes</x:v>
      </x:c>
      <x:c r="Y35" s="13" t="str">
        <x:v>No</x:v>
      </x:c>
      <x:c r="Z35" s="13" t="str">
        <x:v>Yes</x:v>
      </x:c>
      <x:c r="AA35" s="13" t="str">
        <x:v>MPC; Random Shooting</x:v>
      </x:c>
      <x:c r="AB35" s="13" t="str">
        <x:v>Explicit reconstructed cloth mesh</x:v>
      </x:c>
      <x:c r="AC35" s="13" t="str">
        <x:v>Short</x:v>
      </x:c>
      <x:c r="AD35" s="13" t="str">
        <x:v>At every decision, 500 candidate pick-and-place actions are rolled out for a horizon of one action.</x:v>
      </x:c>
      <x:c r="AE35" s="13" t="str">
        <x:v>No</x:v>
      </x:c>
      <x:c r="AF35" s="13" t="str">
        <x:v>Yes — the cloth mesh is re-estimated and a new action is selected after each pick-and-place</x:v>
      </x:c>
      <x:c r="AG35" s="13" t="str">
        <x:v>Full End-to-End Planner</x:v>
      </x:c>
      <x:c r="AH35" s="13" t="str">
        <x:v>Supervised Mesh Reconstruction; Self-Supervised Test-Time Optimization; Dynamics Learning</x:v>
      </x:c>
      <x:c r="AI35" s="13" t="str">
        <x:v>None — action selected through model-based random shooting</x:v>
      </x:c>
      <x:c r="AJ35" s="13" t="str">
        <x:v>Yes — reconstruction and dynamics models are trained in simulation</x:v>
      </x:c>
      <x:c r="AK35" s="13" t="str">
        <x:v>Single-view RGB-D / depth observation</x:v>
      </x:c>
      <x:c r="AL35" s="13" t="str">
        <x:v>Flattening reward or category-specific canonical cloth pose</x:v>
      </x:c>
      <x:c r="AM35" s="13" t="str">
        <x:v>Continuous planar pick-and-place action</x:v>
      </x:c>
      <x:c r="AN35" s="13" t="str">
        <x:v>SoftGym/CLOTH3D cloth flattening and canonicalization across trousers, shirts, dresses, skirts, and jumpsuits</x:v>
      </x:c>
      <x:c r="AO35" s="13" t="str">
        <x:v>Franka Emika Panda with Azure Kinect</x:v>
      </x:c>
      <x:c r="AP35" s="13" t="str">
        <x:v>Yes</x:v>
      </x:c>
      <x:c r="AQ35" s="13" t="str">
        <x:v>Yes</x:v>
      </x:c>
      <x:c r="AR35" s="13" t="str">
        <x:v>Reconstructs occluded cloth geometry and plans with a learned full-mesh dynamics model for cloth smoothing and canonicalization.</x:v>
      </x:c>
      <x:c r="AS35" s="13" t="str">
        <x:v>Combines full-mesh occlusion reasoning with self-supervised test-time refinement before model-based action selection.</x:v>
      </x:c>
      <x:c r="AT35" s="13" t="str">
        <x:v>Reconstruction, test-time refinement, and planning are computationally expensive; real failures arise from cloth deformation during grasping and grasping the wrong number of layers.</x:v>
      </x:c>
      <x:c r="AU35" s="13" t="str">
        <x:v>Not explicitly stated; the reported limitations motivate faster planning, improved reconstruction, and more reliable cloth-layer grasping.</x:v>
      </x:c>
      <x:c r="AV35" s="13" t="str">
        <x:v>A learned GNN predicts cloth-mesh evolution under pick-and-place actions.</x:v>
      </x:c>
      <x:c r="AW35" s="13" t="str">
        <x:v>The system randomly samples 500 candidate actions, rolls each through the mesh dynamics model, and executes the highest-reward action.</x:v>
      </x:c>
      <x:c r="AX35" s="13" t="str">
        <x:v>The explicit planner horizon is one pick-and-place action, although real episodes may use up to ten actions.</x:v>
      </x:c>
      <x:c r="AY35" s="13" t="str">
        <x:v>High</x:v>
      </x:c>
      <x:c r="AZ35" s="13" t="str">
        <x:v>Core structured world-model and MPC paper; classify planning horizon as Short, not by total episode length.</x:v>
      </x:c>
      <x:c r="BA35" s="13" t="str">
        <x:v>Mesh-based Dynamics with Occlusion Reasoning for Cloth Manipulation.txt</x:v>
      </x:c>
    </x:row>
    <x:row r="36">
      <x:c r="A36" s="13" t="str">
        <x:v>batch_07</x:v>
      </x:c>
      <x:c r="B36" s="13" t="str">
        <x:v>B07-005</x:v>
      </x:c>
      <x:c r="C36" s="13" t="str">
        <x:v>MimicPlay: Long-Horizon Imitation Learning by Watching Human Play</x:v>
      </x:c>
      <x:c r="D36" s="13" t="str">
        <x:v>Chen Wang; Linxi Fan; Jiankai Sun; Ruohan Zhang; Li Fei-Fei; Danfei Xu; Yuke Zhu; Anima Anandkumar</x:v>
      </x:c>
      <x:c r="E36" s="13" t="n">
        <x:v>2023</x:v>
      </x:c>
      <x:c r="F36" s="13" t="str">
        <x:v>First public appearance: arXiv:2302.12422 in Feb 2023; published at CoRL 2023</x:v>
      </x:c>
      <x:c r="G36" s="13" t="str">
        <x:v>Conference on Robot Learning (CoRL)</x:v>
      </x:c>
      <x:c r="H36" s="13" t="str">
        <x:v>Peer-reviewed conference article</x:v>
      </x:c>
      <x:c r="I36" s="13" t="str">
        <x:v>Method</x:v>
      </x:c>
      <x:c r="J36" s="13" t="str"/>
      <x:c r="K36" s="13" t="str">
        <x:v>arXiv:2302.12422</x:v>
      </x:c>
      <x:c r="L36" s="13" t="str">
        <x:v>Yes</x:v>
      </x:c>
      <x:c r="M36" s="13" t="str">
        <x:v>Code and videos are released through the MimicPlay project website.</x:v>
      </x:c>
      <x:c r="N36" s="13" t="str">
        <x:v>Long-Horizon Manipulation; Imitation Learning</x:v>
      </x:c>
      <x:c r="O36" s="13" t="str">
        <x:v>Hierarchical Imitation Learning; Planning; Learning from Human Video</x:v>
      </x:c>
      <x:c r="P36" s="13" t="str">
        <x:v>Yes</x:v>
      </x:c>
      <x:c r="Q36" s="13" t="str">
        <x:v>No</x:v>
      </x:c>
      <x:c r="R36" s="13" t="str">
        <x:v>No</x:v>
      </x:c>
      <x:c r="S36" s="13" t="str">
        <x:v>No</x:v>
      </x:c>
      <x:c r="T36" s="13" t="str">
        <x:v>None</x:v>
      </x:c>
      <x:c r="U36" s="13" t="str">
        <x:v>N/A — the high-level model predicts latent 3D hand-trajectory plans, not environment transitions.</x:v>
      </x:c>
      <x:c r="V36" s="13" t="str">
        <x:v>N/A</x:v>
      </x:c>
      <x:c r="W36" s="13" t="str">
        <x:v>Goal-conditioned 3D hand trajectory and robot actions</x:v>
      </x:c>
      <x:c r="X36" s="13" t="str">
        <x:v>No</x:v>
      </x:c>
      <x:c r="Y36" s="13" t="str">
        <x:v>No</x:v>
      </x:c>
      <x:c r="Z36" s="13" t="str">
        <x:v>Yes</x:v>
      </x:c>
      <x:c r="AA36" s="13" t="str">
        <x:v>Hierarchical; Learned Latent Planner</x:v>
      </x:c>
      <x:c r="AB36" s="13" t="str">
        <x:v>Latent 3D hand-trajectory plan</x:v>
      </x:c>
      <x:c r="AC36" s="13" t="str">
        <x:v>Long</x:v>
      </x:c>
      <x:c r="AD36" s="13" t="str">
        <x:v>Evaluation tasks span 2,000–4,000 control steps, 100–200 seconds, and at least three subgoals.</x:v>
      </x:c>
      <x:c r="AE36" s="13" t="str">
        <x:v>Yes</x:v>
      </x:c>
      <x:c r="AF36" s="13" t="str">
        <x:v>Yes — the latent planner and controller operate in closed loop at approximately 17 Hz</x:v>
      </x:c>
      <x:c r="AG36" s="13" t="str">
        <x:v>High-Level Planner</x:v>
      </x:c>
      <x:c r="AH36" s="13" t="str">
        <x:v>Imitation Learning from Human Play and Teleoperated Robot Demonstrations</x:v>
      </x:c>
      <x:c r="AI36" s="13" t="str">
        <x:v>Hierarchical Transformer-GMM Visuomotor Policy</x:v>
      </x:c>
      <x:c r="AJ36" s="13" t="str">
        <x:v>Yes — the high-level latent planner is trained first on human play and then frozen for low-level policy training</x:v>
      </x:c>
      <x:c r="AK36" s="13" t="str">
        <x:v>Multi-view human RGB video; robot current image; wrist RGB; proprioception</x:v>
      </x:c>
      <x:c r="AL36" s="13" t="str">
        <x:v>Goal image or human/robot task video prompt</x:v>
      </x:c>
      <x:c r="AM36" s="13" t="str">
        <x:v>Continuous 6-DoF end-effector and gripper commands</x:v>
      </x:c>
      <x:c r="AN36" s="13" t="str">
        <x:v>Fourteen real-world tasks across kitchen, study desk, flower, whiteboard, sandwich, and cloth environments</x:v>
      </x:c>
      <x:c r="AO36" s="13" t="str">
        <x:v>Franka Emika Panda</x:v>
      </x:c>
      <x:c r="AP36" s="13" t="str">
        <x:v>Yes — supplementary simulation experiments; primary evaluation is real-world</x:v>
      </x:c>
      <x:c r="AQ36" s="13" t="str">
        <x:v>Yes</x:v>
      </x:c>
      <x:c r="AR36" s="13" t="str">
        <x:v>Learns high-level latent plans from inexpensive human play video and uses a small amount of robot teleoperation data to train long-horizon low-level control.</x:v>
      </x:c>
      <x:c r="AS36" s="13" t="str">
        <x:v>Separates data sources by hierarchy level and bridges human and robot embodiments through goal-conditioned 3D hand-trajectory latent plans.</x:v>
      </x:c>
      <x:c r="AT36" s="13" t="str">
        <x:v>The planner is scene-specific, tasks are tabletop-only, and cross-embodiment representation learning remains limited.</x:v>
      </x:c>
      <x:c r="AU36" s="13" t="str">
        <x:v>Scale to internet video, mobile manipulation, temporal contrastive learning, and cycle-consistent cross-embodiment representations.</x:v>
      </x:c>
      <x:c r="AV36" s="13" t="str">
        <x:v>The high-level network predicts human-motion plans and the low-level policy predicts robot actions; neither predicts environment dynamics.</x:v>
      </x:c>
      <x:c r="AW36" s="13" t="str">
        <x:v>A goal-conditioned high-level latent planner guides a separate low-level visuomotor controller throughout execution.</x:v>
      </x:c>
      <x:c r="AX36" s="13" t="str">
        <x:v>The paper evaluates fourteen multi-subgoal real tasks lasting 100–200 seconds and 2,000–4,000 action steps.</x:v>
      </x:c>
      <x:c r="AY36" s="13" t="str">
        <x:v>High</x:v>
      </x:c>
      <x:c r="AZ36" s="13" t="str">
        <x:v>Core learned hierarchical long-horizon planner, but not a world model or search-based planner.</x:v>
      </x:c>
      <x:c r="BA36" s="13" t="str">
        <x:v>MimicPlay_ Long-Horizon Imitation Learning by Watching Human Play.txt</x:v>
      </x:c>
    </x:row>
    <x:row r="37">
      <x:c r="A37" s="13" t="str">
        <x:v>batch_08</x:v>
      </x:c>
      <x:c r="B37" s="13" t="str">
        <x:v>B08-001</x:v>
      </x:c>
      <x:c r="C37" s="13" t="str">
        <x:v>MIND-V: Hierarchical World Model for Long-Horizon Robotic Manipulation with RL-based Physical Alignment</x:v>
      </x:c>
      <x:c r="D37" s="13" t="str">
        <x:v>Ruicheng Zhang; Mingyang Zhang; Jun Zhou; Xiaofan Liu; Zunnan Xu; Zhizhou Zhong; Puxin Yan; Haocheng Luo; Xiu Li</x:v>
      </x:c>
      <x:c r="E37" s="13" t="n">
        <x:v>2025</x:v>
      </x:c>
      <x:c r="F37" s="13" t="str">
        <x:v>First public appearance: arXiv:2512.06628 in Dec 2025; supplied revision v4 dated 5 Jul 2026</x:v>
      </x:c>
      <x:c r="G37" s="13" t="str">
        <x:v>arXiv</x:v>
      </x:c>
      <x:c r="H37" s="13" t="str">
        <x:v>Preprint</x:v>
      </x:c>
      <x:c r="I37" s="13" t="str">
        <x:v>Method</x:v>
      </x:c>
      <x:c r="J37" s="13" t="str"/>
      <x:c r="K37" s="13" t="str">
        <x:v>arXiv:2512.06628</x:v>
      </x:c>
      <x:c r="L37" s="13" t="str">
        <x:v>Unknown</x:v>
      </x:c>
      <x:c r="M37" s="13" t="str">
        <x:v>No public implementation or model release was identified in the supplied manuscript.</x:v>
      </x:c>
      <x:c r="N37" s="13" t="str">
        <x:v>Long-Horizon Manipulation; Video World Simulation; Synthetic Data Generation</x:v>
      </x:c>
      <x:c r="O37" s="13" t="str">
        <x:v>World Modeling; Hierarchical Planning; Video Generation; Policy Learning</x:v>
      </x:c>
      <x:c r="P37" s="13" t="str">
        <x:v>Yes</x:v>
      </x:c>
      <x:c r="Q37" s="13" t="str">
        <x:v>Yes</x:v>
      </x:c>
      <x:c r="R37" s="13" t="str">
        <x:v>No</x:v>
      </x:c>
      <x:c r="S37" s="13" t="str">
        <x:v>Yes</x:v>
      </x:c>
      <x:c r="T37" s="13" t="str">
        <x:v>Hybrid</x:v>
      </x:c>
      <x:c r="U37" s="13" t="str">
        <x:v>A Gemini-based Semantic Reasoning Hub plans subtasks, a Behavioral Semantic Bridge grounds them into masks and trajectories, and a CogVideoX-based diffusion generator synthesizes video; V-JEPA 2 supplies a physical-coherence reward.</x:v>
      </x:c>
      <x:c r="V37" s="13" t="str">
        <x:v>Pixel / Observation</x:v>
      </x:c>
      <x:c r="W37" s="13" t="str">
        <x:v>Long-horizon multi-subtask manipulation video</x:v>
      </x:c>
      <x:c r="X37" s="13" t="str">
        <x:v>No / Indirect — conditioned on planned affordances, masks, and trajectories rather than low-level robot actions</x:v>
      </x:c>
      <x:c r="Y37" s="13" t="str">
        <x:v>Yes</x:v>
      </x:c>
      <x:c r="Z37" s="13" t="str">
        <x:v>Yes</x:v>
      </x:c>
      <x:c r="AA37" s="13" t="str">
        <x:v>Language Planner; Hierarchical; Visual Rollout Selection</x:v>
      </x:c>
      <x:c r="AB37" s="13" t="str">
        <x:v>Symbolic subtask tuples; affordance masks; trajectories; generated video rollouts</x:v>
      </x:c>
      <x:c r="AC37" s="13" t="str">
        <x:v>Long</x:v>
      </x:c>
      <x:c r="AD37" s="13" t="str">
        <x:v>Long-horizon evaluations contain two to four subtasks, while the autoregressive subtask design supports arbitrarily long sequences.</x:v>
      </x:c>
      <x:c r="AE37" s="13" t="str">
        <x:v>Yes</x:v>
      </x:c>
      <x:c r="AF37" s="13" t="str">
        <x:v>Yes — staged visual future rollouts select or refine candidate continuations at each subtask transition</x:v>
      </x:c>
      <x:c r="AG37" s="13" t="str">
        <x:v>High-Level Planner</x:v>
      </x:c>
      <x:c r="AH37" s="13" t="str">
        <x:v>Supervised Fine-Tuning; GRPO Reinforcement Learning; Foundation-Model Adaptation</x:v>
      </x:c>
      <x:c r="AI37" s="13" t="str">
        <x:v>Video World Model / Synthetic-Data Generator</x:v>
      </x:c>
      <x:c r="AJ37" s="13" t="str">
        <x:v>Yes — Gemini 2.5 Pro, Affordance-R1, CogVideoX-5B, and V-JEPA 2</x:v>
      </x:c>
      <x:c r="AK37" s="13" t="str">
        <x:v>RGB scene image; language; object and robot masks; planned trajectories</x:v>
      </x:c>
      <x:c r="AL37" s="13" t="str">
        <x:v>Natural-language instruction decomposed into ordered subtasks</x:v>
      </x:c>
      <x:c r="AM37" s="13" t="str">
        <x:v>Structured affordance and trajectory conditions for video generation</x:v>
      </x:c>
      <x:c r="AN37" s="13" t="str">
        <x:v>Bridge V2 and unseen web scenes; MimicGen Coffee, StackThree, and Square policy-learning tasks</x:v>
      </x:c>
      <x:c r="AO37" s="13" t="str">
        <x:v>Bridge V2 embodiments and MimicGen simulated manipulators</x:v>
      </x:c>
      <x:c r="AP37" s="13" t="str">
        <x:v>Yes</x:v>
      </x:c>
      <x:c r="AQ37" s="13" t="str">
        <x:v>No</x:v>
      </x:c>
      <x:c r="AR37" s="13" t="str">
        <x:v>Introduces a hierarchical video world model that autonomously converts high-level instructions into physically aligned, long-horizon manipulation-video rollouts.</x:v>
      </x:c>
      <x:c r="AS37" s="13" t="str">
        <x:v>Combines VLM task decomposition, structured semantic-to-pixel conditioning, V-JEPA-based physical-reward alignment, and propose-verify-refine visual rollouts.</x:v>
      </x:c>
      <x:c r="AT37" s="13" t="str">
        <x:v>Staged rollout selection adds substantial inference overhead, and errors in upstream affordance localization can propagate through all downstream generation stages.</x:v>
      </x:c>
      <x:c r="AU37" s="13" t="str">
        <x:v>Improve inference efficiency, affordance grounding robustness, and physical fidelity while extending generated data to broader real robotic domains.</x:v>
      </x:c>
      <x:c r="AV37" s="13" t="str">
        <x:v>The Motor Video Generator predicts future manipulation videos, while V-JEPA 2 evaluates their latent physical coherence.</x:v>
      </x:c>
      <x:c r="AW37" s="13" t="str">
        <x:v>The Semantic Reasoning Hub decomposes tasks and generates multiple candidate continuations that are evaluated and refined at subtask boundaries.</x:v>
      </x:c>
      <x:c r="AX37" s="13" t="str">
        <x:v>Long-horizon tasks contain two to four linked subtasks, and 111-frame three-subtask videos are generated autoregressively.</x:v>
      </x:c>
      <x:c r="AY37" s="13" t="str">
        <x:v>High</x:v>
      </x:c>
      <x:c r="AZ37" s="13" t="str">
        <x:v>Core hierarchical video world model. Its planner operates in synthetic video space and does not directly output executable robot actions. Record year as 2025 despite the supplied 2026 revision.</x:v>
      </x:c>
      <x:c r="BA37" s="13" t="str">
        <x:v>MIND-V_ Hierarchical Video Generation for Long-Horizon Robotic Manipulation with RL-based Physical Alignment.txt</x:v>
      </x:c>
    </x:row>
    <x:row r="38">
      <x:c r="A38" s="13" t="str">
        <x:v>batch_08</x:v>
      </x:c>
      <x:c r="B38" s="13" t="str">
        <x:v>B08-002</x:v>
      </x:c>
      <x:c r="C38" s="13" t="str">
        <x:v>Multi-robot geometric task-and-motion planning for collaborative manipulation tasks</x:v>
      </x:c>
      <x:c r="D38" s="13" t="str">
        <x:v>Hejia Zhang; Shao-Hung Chan; Jie Zhong; Jiaoyang Li; Peter Kolapo; Sven Koenig; Zach Agioutantis; Steven Schafrik; Stefanos Nikolaidis</x:v>
      </x:c>
      <x:c r="E38" s="13" t="n">
        <x:v>2023</x:v>
      </x:c>
      <x:c r="F38" s="13" t="str">
        <x:v>Published online 30 Oct 2023</x:v>
      </x:c>
      <x:c r="G38" s="13" t="str">
        <x:v>Autonomous Robots</x:v>
      </x:c>
      <x:c r="H38" s="13" t="str">
        <x:v>Peer-reviewed journal article</x:v>
      </x:c>
      <x:c r="I38" s="13" t="str">
        <x:v>Method</x:v>
      </x:c>
      <x:c r="J38" s="13" t="str"/>
      <x:c r="K38" s="13" t="str">
        <x:v>10.1007/s10514-023-10148-y</x:v>
      </x:c>
      <x:c r="L38" s="13" t="str">
        <x:v>Unknown</x:v>
      </x:c>
      <x:c r="M38" s="13" t="str">
        <x:v>No paper-specific code release was identified in the supplied article.</x:v>
      </x:c>
      <x:c r="N38" s="13" t="str">
        <x:v>Multi-Robot Manipulation; Geometric Task and Motion Planning; Mining Robotics</x:v>
      </x:c>
      <x:c r="O38" s="13" t="str">
        <x:v>Planning; Multi-Robot Collaboration; Rearrangement</x:v>
      </x:c>
      <x:c r="P38" s="13" t="str">
        <x:v>No / Unclear</x:v>
      </x:c>
      <x:c r="Q38" s="13" t="str">
        <x:v>No</x:v>
      </x:c>
      <x:c r="R38" s="13" t="str">
        <x:v>No</x:v>
      </x:c>
      <x:c r="S38" s="13" t="str">
        <x:v>No</x:v>
      </x:c>
      <x:c r="T38" s="13" t="str">
        <x:v>None</x:v>
      </x:c>
      <x:c r="U38" s="13" t="str">
        <x:v>N/A — uses explicit reachability, occlusion, task-skeleton, and motion-planning models rather than learned dynamics.</x:v>
      </x:c>
      <x:c r="V38" s="13" t="str">
        <x:v>N/A</x:v>
      </x:c>
      <x:c r="W38" s="13" t="str">
        <x:v>N/A</x:v>
      </x:c>
      <x:c r="X38" s="13" t="str">
        <x:v>N/A</x:v>
      </x:c>
      <x:c r="Y38" s="13" t="str">
        <x:v>No</x:v>
      </x:c>
      <x:c r="Z38" s="13" t="str">
        <x:v>Yes</x:v>
      </x:c>
      <x:c r="AA38" s="13" t="str">
        <x:v>MCTS; Mixed-Integer Programming; Geometric Task and Motion Planning</x:v>
      </x:c>
      <x:c r="AB38" s="13" t="str">
        <x:v>Hybrid: collaborative manipulation graph, symbolic task skeleton, object placements, and robot trajectories</x:v>
      </x:c>
      <x:c r="AC38" s="13" t="str">
        <x:v>Medium</x:v>
      </x:c>
      <x:c r="AD38" s="13" t="str">
        <x:v>Reported benchmark plans generally contain roughly three to five synchronized task stages, with each stage grounded into multi-robot motion; roof-bolting executions last 250–270 seconds.</x:v>
      </x:c>
      <x:c r="AE38" s="13" t="str">
        <x:v>Yes</x:v>
      </x:c>
      <x:c r="AF38" s="13" t="str">
        <x:v>No</x:v>
      </x:c>
      <x:c r="AG38" s="13" t="str">
        <x:v>Full End-to-End Planner</x:v>
      </x:c>
      <x:c r="AH38" s="13" t="str">
        <x:v>None — search, optimization, and motion planning</x:v>
      </x:c>
      <x:c r="AI38" s="13" t="str">
        <x:v>None</x:v>
      </x:c>
      <x:c r="AJ38" s="13" t="str">
        <x:v>No</x:v>
      </x:c>
      <x:c r="AK38" s="13" t="str">
        <x:v>Fully observed structured geometry, object regions, reachability, and occlusion relations</x:v>
      </x:c>
      <x:c r="AL38" s="13" t="str">
        <x:v>Goal regions for target objects and task-specific mining objectives</x:v>
      </x:c>
      <x:c r="AM38" s="13" t="str">
        <x:v>Hybrid: robot-object assignments, relocation and handover actions, object placements, and continuous trajectories</x:v>
      </x:c>
      <x:c r="AN38" s="13" t="str">
        <x:v>Pick-and-place arms domain; mobile-manipulator box-moving domain; two underground roof-bolting scenarios</x:v>
      </x:c>
      <x:c r="AO38" s="13" t="str">
        <x:v>Multiple robotic arms and mobile manipulators; ABB arm coordinated with an autonomous roof bolter</x:v>
      </x:c>
      <x:c r="AP38" s="13" t="str">
        <x:v>Yes</x:v>
      </x:c>
      <x:c r="AQ38" s="13" t="str">
        <x:v>Yes</x:v>
      </x:c>
      <x:c r="AR38" s="13" t="str">
        <x:v>Builds collaborative manipulation graphs and uses MIP-guided MCTS to find efficient multi-robot geometric task-and-motion plans.</x:v>
      </x:c>
      <x:c r="AS38" s="13" t="str">
        <x:v>Precomputes robot-specific reachability and occlusion information to generate promising collaborative task skeletons, including handovers, before grounding their continuous parameters.</x:v>
      </x:c>
      <x:c r="AT38" s="13" t="str">
        <x:v>Assumes monotone object motion, predefined handover regions, synchronous actions, and full observability; it does not optimize trajectory length or execution time directly.</x:v>
      </x:c>
      <x:c r="AU38" s="13" t="str">
        <x:v>Support non-monotone tasks, discover handover regions dynamically, account for sensing uncertainty and trajectory cost, use learning to accelerate planning, and extend to broader MR-TAMP problems.</x:v>
      </x:c>
      <x:c r="AV38" s="13" t="str">
        <x:v>All environmental reasoning uses explicit geometric and symbolic structures, not a learned predictive transition model.</x:v>
      </x:c>
      <x:c r="AW38" s="13" t="str">
        <x:v>MIPs propose task skeletons, MCTS balances exploration and exploitation, and motion planners ground object placements and robot trajectories.</x:v>
      </x:c>
      <x:c r="AX38" s="13" t="str">
        <x:v>The reported task skeletons are multi-stage but relatively compact; the paper is not explicitly framed as a long-horizon planning method.</x:v>
      </x:c>
      <x:c r="AY38" s="13" t="str">
        <x:v>High</x:v>
      </x:c>
      <x:c r="AZ38" s="13" t="str">
        <x:v>Core multi-robot TAMP baseline. Keep separate from the explicitly long-horizon 113-part construction planner in batch 7.</x:v>
      </x:c>
      <x:c r="BA38" s="13" t="str">
        <x:v>Multi-robot geometric task-and-motion planning for collaborative manipulation tasks.txt</x:v>
      </x:c>
    </x:row>
    <x:row r="39">
      <x:c r="A39" s="13" t="str">
        <x:v>batch_08</x:v>
      </x:c>
      <x:c r="B39" s="13" t="str">
        <x:v>B08-003</x:v>
      </x:c>
      <x:c r="C39" s="13" t="str">
        <x:v>Octo: An Open-Source Generalist Robot Policy</x:v>
      </x:c>
      <x:c r="D39" s="13" t="str">
        <x:v>Octo Model Team (Dibya Ghosh; Homer Walke; Karl Pertsch; Kevin Black; Oier Mees; et al.)</x:v>
      </x:c>
      <x:c r="E39" s="13" t="n">
        <x:v>2024</x:v>
      </x:c>
      <x:c r="F39" s="13" t="str">
        <x:v>Published at Robotics: Science and Systems 2024</x:v>
      </x:c>
      <x:c r="G39" s="13" t="str">
        <x:v>Robotics: Science and Systems (RSS)</x:v>
      </x:c>
      <x:c r="H39" s="13" t="str">
        <x:v>Peer-reviewed conference article</x:v>
      </x:c>
      <x:c r="I39" s="13" t="str">
        <x:v>Method</x:v>
      </x:c>
      <x:c r="J39" s="13" t="str"/>
      <x:c r="K39" s="13" t="str">
        <x:v>RSS 2024</x:v>
      </x:c>
      <x:c r="L39" s="13" t="str">
        <x:v>Yes</x:v>
      </x:c>
      <x:c r="M39" s="13" t="str">
        <x:v>Training code, finetuning code, model checkpoints, and data infrastructure are publicly released.</x:v>
      </x:c>
      <x:c r="N39" s="13" t="str">
        <x:v>Manipulation; Generalist Robot Policies; Cross-Embodiment Learning</x:v>
      </x:c>
      <x:c r="O39" s="13" t="str">
        <x:v>Policy Learning; Foundation Model; Efficient Finetuning</x:v>
      </x:c>
      <x:c r="P39" s="13" t="str">
        <x:v>Yes</x:v>
      </x:c>
      <x:c r="Q39" s="13" t="str">
        <x:v>Yes</x:v>
      </x:c>
      <x:c r="R39" s="13" t="str">
        <x:v>No</x:v>
      </x:c>
      <x:c r="S39" s="13" t="str">
        <x:v>No</x:v>
      </x:c>
      <x:c r="T39" s="13" t="str">
        <x:v>None</x:v>
      </x:c>
      <x:c r="U39" s="13" t="str">
        <x:v>N/A — Octo directly maps task and observation tokens to future action chunks.</x:v>
      </x:c>
      <x:c r="V39" s="13" t="str">
        <x:v>N/A</x:v>
      </x:c>
      <x:c r="W39" s="13" t="str">
        <x:v>Future robot action chunk</x:v>
      </x:c>
      <x:c r="X39" s="13" t="str">
        <x:v>No</x:v>
      </x:c>
      <x:c r="Y39" s="13" t="str">
        <x:v>No</x:v>
      </x:c>
      <x:c r="Z39" s="13" t="str">
        <x:v>No</x:v>
      </x:c>
      <x:c r="AA39" s="13" t="str">
        <x:v>None — direct generalist policy execution</x:v>
      </x:c>
      <x:c r="AB39" s="13" t="str">
        <x:v>N/A</x:v>
      </x:c>
      <x:c r="AC39" s="13" t="str">
        <x:v>None</x:v>
      </x:c>
      <x:c r="AD39" s="13" t="str">
        <x:v>Octo is tested on long-horizon tasks such as Stanford Coffee, but no explicit search, world-model rollout, or high-level decomposition is used.</x:v>
      </x:c>
      <x:c r="AE39" s="13" t="str">
        <x:v>No</x:v>
      </x:c>
      <x:c r="AF39" s="13" t="str">
        <x:v>Yes — the policy repeatedly generates action chunks from updated observations</x:v>
      </x:c>
      <x:c r="AG39" s="13" t="str">
        <x:v>Local Controller</x:v>
      </x:c>
      <x:c r="AH39" s="13" t="str">
        <x:v>Cross-Embodiment Imitation Learning; Diffusion Action Modeling; Foundation-Policy Pretraining</x:v>
      </x:c>
      <x:c r="AI39" s="13" t="str">
        <x:v>Generalist Robot Policy; Diffusion Action Policy</x:v>
      </x:c>
      <x:c r="AJ39" s="13" t="str">
        <x:v>Yes — trained on 800,000 Open X-Embodiment trajectories</x:v>
      </x:c>
      <x:c r="AK39" s="13" t="str">
        <x:v>Multiple RGB cameras; proprioception; optional new modalities such as force-torque after finetuning</x:v>
      </x:c>
      <x:c r="AL39" s="13" t="str">
        <x:v>Natural-language instruction or goal image</x:v>
      </x:c>
      <x:c r="AM39" s="13" t="str">
        <x:v>Flexible end-effector, joint-position, single-arm, and bimanual action spaces</x:v>
      </x:c>
      <x:c r="AN39" s="13" t="str">
        <x:v>Nine real robot setups including WidowX BridgeV2, UR5 Tabletop, CMU Baking, Stanford Coffee, Berkeley Insertion, Pick-Up, Coke, and Bimanual</x:v>
      </x:c>
      <x:c r="AO39" s="13" t="str">
        <x:v>Nine real robot setups across four institutions</x:v>
      </x:c>
      <x:c r="AP39" s="13" t="str">
        <x:v>No</x:v>
      </x:c>
      <x:c r="AQ39" s="13" t="str">
        <x:v>Yes</x:v>
      </x:c>
      <x:c r="AR39" s="13" t="str">
        <x:v>Provides a fully open-source transformer policy that supports multiple robots, observations, task specifications, and action spaces and can be efficiently finetuned.</x:v>
      </x:c>
      <x:c r="AS39" s="13" t="str">
        <x:v>Combines a flexible token-based transformer, language or goal-image conditioning, diffusion action chunks, and adapter-based finetuning across new robot interfaces.</x:v>
      </x:c>
      <x:c r="AT39" s="13" t="str">
        <x:v>Performance is limited by sparse wrist-camera and language annotations, degrades for novel skills and scenes, and is trained only from optimal demonstration data on manipulation platforms.</x:v>
      </x:c>
      <x:c r="AU39" s="13" t="str">
        <x:v>Improve wrist-camera and language conditioning, learn from suboptimal or online interaction data, and expand to navigation and mobile manipulation.</x:v>
      </x:c>
      <x:c r="AV39" s="13" t="str">
        <x:v>The model predicts robot actions directly and contains no learned transition or future-observation model.</x:v>
      </x:c>
      <x:c r="AW39" s="13" t="str">
        <x:v>Long-horizon tasks are handled through repeated closed-loop policy inference rather than an explicit planner.</x:v>
      </x:c>
      <x:c r="AX39" s="13" t="str">
        <x:v>The evaluation explicitly includes long task horizons such as Stanford Coffee, but planning_horizon remains None.</x:v>
      </x:c>
      <x:c r="AY39" s="13" t="str">
        <x:v>High</x:v>
      </x:c>
      <x:c r="AZ39" s="13" t="str">
        <x:v>Core generalist-policy baseline; exclude from world-model and explicit-planning counts.</x:v>
      </x:c>
      <x:c r="BA39" s="13" t="str">
        <x:v>Octo_ An Open-Source Generalist Robot Policy.txt</x:v>
      </x:c>
    </x:row>
    <x:row r="40">
      <x:c r="A40" s="13" t="str">
        <x:v>batch_08</x:v>
      </x:c>
      <x:c r="B40" s="13" t="str">
        <x:v>B08-004</x:v>
      </x:c>
      <x:c r="C40" s="13" t="str">
        <x:v>Open X-Embodiment: Robotic Learning Datasets and RT-X Models</x:v>
      </x:c>
      <x:c r="D40" s="13" t="str">
        <x:v>Open X-Embodiment Collaboration</x:v>
      </x:c>
      <x:c r="E40" s="13" t="n">
        <x:v>2023</x:v>
      </x:c>
      <x:c r="F40" s="13" t="str">
        <x:v>First public appearance: arXiv:2310.08864 in Oct 2023; supplied revision v9 dated 14 May 2025</x:v>
      </x:c>
      <x:c r="G40" s="13" t="str">
        <x:v>arXiv</x:v>
      </x:c>
      <x:c r="H40" s="13" t="str">
        <x:v>Dataset and model paper / revised preprint</x:v>
      </x:c>
      <x:c r="I40" s="13" t="str">
        <x:v>Dataset</x:v>
      </x:c>
      <x:c r="J40" s="13" t="str"/>
      <x:c r="K40" s="13" t="str">
        <x:v>arXiv:2310.08864</x:v>
      </x:c>
      <x:c r="L40" s="13" t="str">
        <x:v>Yes</x:v>
      </x:c>
      <x:c r="M40" s="13" t="str">
        <x:v>The standardized datasets, sample code, project resources, and RT-1-X model are publicly released.</x:v>
      </x:c>
      <x:c r="N40" s="13" t="str">
        <x:v>Manipulation; Cross-Embodiment Robot Learning</x:v>
      </x:c>
      <x:c r="O40" s="13" t="str">
        <x:v>Dataset; Generalist Policy Learning; Cross-Embodiment Transfer</x:v>
      </x:c>
      <x:c r="P40" s="13" t="str">
        <x:v>N/A — the paper aggregates heterogeneous tasks rather than evaluating one normalized horizon</x:v>
      </x:c>
      <x:c r="Q40" s="13" t="str">
        <x:v>N/A — many constituent datasets and RT-X models use language instructions</x:v>
      </x:c>
      <x:c r="R40" s="13" t="str">
        <x:v>N/A</x:v>
      </x:c>
      <x:c r="S40" s="13" t="str">
        <x:v>No</x:v>
      </x:c>
      <x:c r="T40" s="13" t="str">
        <x:v>None</x:v>
      </x:c>
      <x:c r="U40" s="13" t="str">
        <x:v>N/A — RT-1-X and RT-2-X are direct robot policies rather than predictive environment models.</x:v>
      </x:c>
      <x:c r="V40" s="13" t="str">
        <x:v>N/A</x:v>
      </x:c>
      <x:c r="W40" s="13" t="str">
        <x:v>Robot actions for the accompanying RT-X policy experiments</x:v>
      </x:c>
      <x:c r="X40" s="13" t="str">
        <x:v>No</x:v>
      </x:c>
      <x:c r="Y40" s="13" t="str">
        <x:v>No</x:v>
      </x:c>
      <x:c r="Z40" s="13" t="str">
        <x:v>No</x:v>
      </x:c>
      <x:c r="AA40" s="13" t="str">
        <x:v>None</x:v>
      </x:c>
      <x:c r="AB40" s="13" t="str">
        <x:v>N/A</x:v>
      </x:c>
      <x:c r="AC40" s="13" t="str">
        <x:v>N/A</x:v>
      </x:c>
      <x:c r="AD40" s="13" t="str">
        <x:v>The dataset spans diverse tasks and embodiments, but the paper does not define a single planning horizon.</x:v>
      </x:c>
      <x:c r="AE40" s="13" t="str">
        <x:v>N/A</x:v>
      </x:c>
      <x:c r="AF40" s="13" t="str">
        <x:v>N/A</x:v>
      </x:c>
      <x:c r="AG40" s="13" t="str">
        <x:v>N/A</x:v>
      </x:c>
      <x:c r="AH40" s="13" t="str">
        <x:v>Dataset Aggregation; Cross-Embodiment Imitation Learning; Vision-Language-Action Fine-Tuning</x:v>
      </x:c>
      <x:c r="AI40" s="13" t="str">
        <x:v>RT-1-X; RT-2-X</x:v>
      </x:c>
      <x:c r="AJ40" s="13" t="str">
        <x:v>Yes — RT-X models are trained on the aggregated cross-embodiment dataset</x:v>
      </x:c>
      <x:c r="AK40" s="13" t="str">
        <x:v>Multiple RGB, proprioceptive, language, and embodiment-specific sensor configurations</x:v>
      </x:c>
      <x:c r="AL40" s="13" t="str">
        <x:v>Natural-language instruction and dataset-specific task labels</x:v>
      </x:c>
      <x:c r="AM40" s="13" t="str">
        <x:v>Standardized heterogeneous robot action spaces across embodiments</x:v>
      </x:c>
      <x:c r="AN40" s="13" t="str">
        <x:v>More than one million real-robot episodes from 22 embodiments, 21 institutions, 527 skills, and 160,266 tasks</x:v>
      </x:c>
      <x:c r="AO40" s="13" t="str">
        <x:v>Twenty-two real robot embodiments</x:v>
      </x:c>
      <x:c r="AP40" s="13" t="str">
        <x:v>No / Limited</x:v>
      </x:c>
      <x:c r="AQ40" s="13" t="str">
        <x:v>Yes</x:v>
      </x:c>
      <x:c r="AR40" s="13" t="str">
        <x:v>Consolidates a large cross-institution robot dataset and demonstrates positive cross-embodiment transfer with RT-1-X and RT-2-X.</x:v>
      </x:c>
      <x:c r="AS40" s="13" t="str">
        <x:v>Standardizes heterogeneous datasets and shows that policies trained jointly across robots can outperform embodiment-specific models and gain emergent skills.</x:v>
      </x:c>
      <x:c r="AT40" s="13" t="str">
        <x:v>The study does not cover highly different sensing or actuation modalities, does not test adaptation to entirely new robots, and lacks a criterion predicting when cross-embodiment transfer will help.</x:v>
      </x:c>
      <x:c r="AU40" s="13" t="str">
        <x:v>Expand embodiment and modality diversity, study transfer to unseen robots, and develop principles for predicting positive or negative cross-domain transfer.</x:v>
      </x:c>
      <x:c r="AV40" s="13" t="str">
        <x:v>The accompanying RT-X models map observations and instructions directly to actions without modeling future environment dynamics.</x:v>
      </x:c>
      <x:c r="AW40" s="13" t="str">
        <x:v>The contribution is dataset aggregation and direct policy learning, not search or task decomposition.</x:v>
      </x:c>
      <x:c r="AX40" s="13" t="str">
        <x:v>No corpus-wide task horizon is defined because the dataset merges many independent robot datasets and skills.</x:v>
      </x:c>
      <x:c r="AY40" s="13" t="str">
        <x:v>High</x:v>
      </x:c>
      <x:c r="AZ40" s="13" t="str">
        <x:v>First Dataset row in the taxonomy. Exclude from method, survey, benchmark, world-model, and planner counts; retain for dataset-scale and foundation-policy analyses.</x:v>
      </x:c>
      <x:c r="BA40" s="13" t="str">
        <x:v>Open X-Embodiment_ Robotic Learning Datasets and RT-X Models.txt</x:v>
      </x:c>
    </x:row>
    <x:row r="41">
      <x:c r="A41" s="13" t="str">
        <x:v>batch_08</x:v>
      </x:c>
      <x:c r="B41" s="13" t="str">
        <x:v>B08-005</x:v>
      </x:c>
      <x:c r="C41" s="13" t="str">
        <x:v>PaLM-E: An Embodied Multimodal Language Model</x:v>
      </x:c>
      <x:c r="D41" s="13" t="str">
        <x:v>Danny Driess; Fei Xia; Mehdi S. M. Sajjadi; Corey Lynch; Aakanksha Chowdhery; Brian Ichter; Ayzaan Wahid; Jonathan Tompson; Quan Vuong; Tianhe Yu; Wenlong Huang; Yevgen Chebotar; Pierre Sermanet; Daniel Duckworth; Sergey Levine; Vincent Vanhoucke; Karol Hausman; Marc Toussaint; Klaus Greff; Andy Zeng; Igor Mordatch; Pete Florence</x:v>
      </x:c>
      <x:c r="E41" s="13" t="n">
        <x:v>2023</x:v>
      </x:c>
      <x:c r="F41" s="13" t="str">
        <x:v>First public appearance: arXiv:2303.03378 on 6 Mar 2023</x:v>
      </x:c>
      <x:c r="G41" s="13" t="str">
        <x:v>International Conference on Machine Learning (ICML)</x:v>
      </x:c>
      <x:c r="H41" s="13" t="str">
        <x:v>Peer-reviewed conference article</x:v>
      </x:c>
      <x:c r="I41" s="13" t="str">
        <x:v>Method</x:v>
      </x:c>
      <x:c r="J41" s="13" t="str"/>
      <x:c r="K41" s="13" t="str">
        <x:v>arXiv:2303.03378</x:v>
      </x:c>
      <x:c r="L41" s="13" t="str">
        <x:v>Unknown</x:v>
      </x:c>
      <x:c r="M41" s="13" t="str">
        <x:v>A project website and demonstrations are available, but a complete public model and training-code release was not established.</x:v>
      </x:c>
      <x:c r="N41" s="13" t="str">
        <x:v>Embodied AI; Manipulation; Mobile Manipulation; Visual Question Answering</x:v>
      </x:c>
      <x:c r="O41" s="13" t="str">
        <x:v>Language Planning; Multimodal Foundation Models; Embodied Reasoning</x:v>
      </x:c>
      <x:c r="P41" s="13" t="str">
        <x:v>Yes</x:v>
      </x:c>
      <x:c r="Q41" s="13" t="str">
        <x:v>Yes</x:v>
      </x:c>
      <x:c r="R41" s="13" t="str">
        <x:v>Yes — receives human instructions and supports grounded dialogue</x:v>
      </x:c>
      <x:c r="S41" s="13" t="str">
        <x:v>No</x:v>
      </x:c>
      <x:c r="T41" s="13" t="str">
        <x:v>None</x:v>
      </x:c>
      <x:c r="U41" s="13" t="str">
        <x:v>N/A — multimodal sensor tokens condition a language model that emits textual plans, without learning action-conditioned environment dynamics.</x:v>
      </x:c>
      <x:c r="V41" s="13" t="str">
        <x:v>N/A</x:v>
      </x:c>
      <x:c r="W41" s="13" t="str">
        <x:v>Textual answers, subgoals, and sequential robot-plan steps</x:v>
      </x:c>
      <x:c r="X41" s="13" t="str">
        <x:v>No</x:v>
      </x:c>
      <x:c r="Y41" s="13" t="str">
        <x:v>No</x:v>
      </x:c>
      <x:c r="Z41" s="13" t="str">
        <x:v>Yes</x:v>
      </x:c>
      <x:c r="AA41" s="13" t="str">
        <x:v>Language Planner; Hierarchical</x:v>
      </x:c>
      <x:c r="AB41" s="13" t="str">
        <x:v>Textual subgoals conditioned on image, state, neural 3D, language, and plan history</x:v>
      </x:c>
      <x:c r="AC41" s="13" t="str">
        <x:v>Long</x:v>
      </x:c>
      <x:c r="AD41" s="13" t="str">
        <x:v>PaLM-E autoregressively emits multi-step subgoals for real tabletop and mobile-manipulation tasks until termination.</x:v>
      </x:c>
      <x:c r="AE41" s="13" t="str">
        <x:v>Yes</x:v>
      </x:c>
      <x:c r="AF41" s="13" t="str">
        <x:v>Yes — the next plan step is conditioned on current visual observations and previous execution history</x:v>
      </x:c>
      <x:c r="AG41" s="13" t="str">
        <x:v>High-Level Planner</x:v>
      </x:c>
      <x:c r="AH41" s="13" t="str">
        <x:v>Multitask Supervised Fine-Tuning; Multimodal Foundation-Model Transfer</x:v>
      </x:c>
      <x:c r="AI41" s="13" t="str">
        <x:v>Embodied Multimodal LLM with External Low-Level Skill Policies</x:v>
      </x:c>
      <x:c r="AJ41" s="13" t="str">
        <x:v>Yes — PaLM language model, vision transformers, and multimodal encoders</x:v>
      </x:c>
      <x:c r="AK41" s="13" t="str">
        <x:v>Language; RGB images; continuous state estimates; neural 3D scene representations</x:v>
      </x:c>
      <x:c r="AL41" s="13" t="str">
        <x:v>Natural-language instruction</x:v>
      </x:c>
      <x:c r="AM41" s="13" t="str">
        <x:v>Discrete textual subgoals mapped to pretrained manipulation and navigation policies</x:v>
      </x:c>
      <x:c r="AN41" s="13" t="str">
        <x:v>TAMP environment; Language-Table; real mobile manipulation; OK-VQA; VQAv2; COCO captioning</x:v>
      </x:c>
      <x:c r="AO41" s="13" t="str">
        <x:v>Language-Table tabletop robot; Everyday Robots mobile manipulator; simulated TAMP environment</x:v>
      </x:c>
      <x:c r="AP41" s="13" t="str">
        <x:v>Yes</x:v>
      </x:c>
      <x:c r="AQ41" s="13" t="str">
        <x:v>Yes</x:v>
      </x:c>
      <x:c r="AR41" s="13" t="str">
        <x:v>Injects continuous perceptual and state representations directly into a pretrained language model to create one multimodal model for embodied planning and general vision-language reasoning.</x:v>
      </x:c>
      <x:c r="AS41" s="13" t="str">
        <x:v>Demonstrates positive transfer from internet-scale language and vision tasks to data-efficient, multi-embodiment robotic planning using a single end-to-end model.</x:v>
      </x:c>
      <x:c r="AT41" s="13" t="str">
        <x:v>Planning remains bounded by the available low-level skill policies and training mixture, and the model does not explicitly predict physical dynamics or guarantee safe and feasible actions.</x:v>
      </x:c>
      <x:c r="AU41" s="13" t="str">
        <x:v>Combine embodied language modeling with stronger large-scale visual and geometric representations, more capable low-level control, and improved grounding and safety.</x:v>
      </x:c>
      <x:c r="AV41" s="13" t="str">
        <x:v>PaLM-E grounds sensor inputs inside an LLM but does not predict next environment states conditioned on candidate actions.</x:v>
      </x:c>
      <x:c r="AW41" s="13" t="str">
        <x:v>It generates the next textual plan step from current observations and history, then maps that subgoal to a low-level robot policy.</x:v>
      </x:c>
      <x:c r="AX41" s="13" t="str">
        <x:v>The paper demonstrates real long-horizon block sorting and mobile manipulation under disturbances through repeated subgoal generation.</x:v>
      </x:c>
      <x:c r="AY41" s="13" t="str">
        <x:v>High</x:v>
      </x:c>
      <x:c r="AZ41" s="13" t="str">
        <x:v>Core multimodal language-planning paper; not a world model and not a direct low-level policy.</x:v>
      </x:c>
      <x:c r="BA41" s="13" t="str">
        <x:v>PaLM-E_ An Embodied Multimodal Language Model.txt</x:v>
      </x:c>
    </x:row>
    <x:row r="42">
      <x:c r="A42" s="13" t="str">
        <x:v>batch_09</x:v>
      </x:c>
      <x:c r="B42" s="13" t="str">
        <x:v>B09-001</x:v>
      </x:c>
      <x:c r="C42" s="13" t="str">
        <x:v>Partially Observable Markov Decision Processes in Robotics: A Survey</x:v>
      </x:c>
      <x:c r="D42" s="13" t="str">
        <x:v>Mikko Lauri; David Hsu; Joni Pajarinen</x:v>
      </x:c>
      <x:c r="E42" s="13" t="n">
        <x:v>2022</x:v>
      </x:c>
      <x:c r="F42" s="13" t="str">
        <x:v>First public appearance: arXiv:2209.10342 on 21 Sep 2022</x:v>
      </x:c>
      <x:c r="G42" s="13" t="str">
        <x:v>IEEE Transactions on Robotics</x:v>
      </x:c>
      <x:c r="H42" s="13" t="str">
        <x:v>Peer-reviewed journal survey / author manuscript</x:v>
      </x:c>
      <x:c r="I42" s="13" t="str">
        <x:v>Survey</x:v>
      </x:c>
      <x:c r="J42" s="13" t="str"/>
      <x:c r="K42" s="13" t="str">
        <x:v>arXiv:2209.10342</x:v>
      </x:c>
      <x:c r="L42" s="13" t="str">
        <x:v>Unknown</x:v>
      </x:c>
      <x:c r="M42" s="13" t="str">
        <x:v>No single companion implementation is associated with this broad survey.</x:v>
      </x:c>
      <x:c r="N42" s="13" t="str">
        <x:v>General Robotics; Planning Under Uncertainty</x:v>
      </x:c>
      <x:c r="O42" s="13" t="str">
        <x:v>Survey; POMDP Planning; Decision Making Under Uncertainty</x:v>
      </x:c>
      <x:c r="P42" s="13" t="str">
        <x:v>N/A — finite-, infinite-, and receding-horizon methods are reviewed</x:v>
      </x:c>
      <x:c r="Q42" s="13" t="str">
        <x:v>N/A</x:v>
      </x:c>
      <x:c r="R42" s="13" t="str">
        <x:v>N/A — HRI is one reviewed application area</x:v>
      </x:c>
      <x:c r="S42" s="13" t="str">
        <x:v>N/A — reviews explicit and learned transition, observation, and reward models</x:v>
      </x:c>
      <x:c r="T42" s="13" t="str">
        <x:v>N/A — probabilistic state-transition and observation models</x:v>
      </x:c>
      <x:c r="U42" s="13" t="str">
        <x:v>Reviews POMDP formulations that maintain belief states and reason using transition, observation, and reward models under partial observability.</x:v>
      </x:c>
      <x:c r="V42" s="13" t="str">
        <x:v>N/A</x:v>
      </x:c>
      <x:c r="W42" s="13" t="str">
        <x:v>N/A</x:v>
      </x:c>
      <x:c r="X42" s="13" t="str">
        <x:v>N/A</x:v>
      </x:c>
      <x:c r="Y42" s="13" t="str">
        <x:v>N/A</x:v>
      </x:c>
      <x:c r="Z42" s="13" t="str">
        <x:v>N/A — offline, online, sampling-based, and heuristic POMDP planners are reviewed</x:v>
      </x:c>
      <x:c r="AA42" s="13" t="str">
        <x:v>N/A</x:v>
      </x:c>
      <x:c r="AB42" s="13" t="str">
        <x:v>Belief state / probabilistic model</x:v>
      </x:c>
      <x:c r="AC42" s="13" t="str">
        <x:v>N/A</x:v>
      </x:c>
      <x:c r="AD42" s="13" t="str">
        <x:v>The survey covers finite-horizon, infinite-horizon, online receding-horizon, and temporally abstract planning.</x:v>
      </x:c>
      <x:c r="AE42" s="13" t="str">
        <x:v>N/A</x:v>
      </x:c>
      <x:c r="AF42" s="13" t="str">
        <x:v>N/A</x:v>
      </x:c>
      <x:c r="AG42" s="13" t="str">
        <x:v>N/A</x:v>
      </x:c>
      <x:c r="AH42" s="13" t="str">
        <x:v>N/A</x:v>
      </x:c>
      <x:c r="AI42" s="13" t="str">
        <x:v>N/A</x:v>
      </x:c>
      <x:c r="AJ42" s="13" t="str">
        <x:v>N/A</x:v>
      </x:c>
      <x:c r="AK42" s="13" t="str">
        <x:v>Multiple; potentially continuous and high dimensional</x:v>
      </x:c>
      <x:c r="AL42" s="13" t="str">
        <x:v>Expected cumulative reward under uncertainty</x:v>
      </x:c>
      <x:c r="AM42" s="13" t="str">
        <x:v>Multiple; discrete and continuous approaches reviewed</x:v>
      </x:c>
      <x:c r="AN42" s="13" t="str">
        <x:v>Applications across navigation, driving, search and tracking, manipulation, HRI, and multi-robot coordination</x:v>
      </x:c>
      <x:c r="AO42" s="13" t="str">
        <x:v>Multiple</x:v>
      </x:c>
      <x:c r="AP42" s="13" t="str">
        <x:v>Both / Survey</x:v>
      </x:c>
      <x:c r="AQ42" s="13" t="str">
        <x:v>Both / Survey</x:v>
      </x:c>
      <x:c r="AR42" s="13" t="str">
        <x:v>Connects POMDP theory and algorithms to practical modeling choices across six major robotics application areas.</x:v>
      </x:c>
      <x:c r="AS42" s="13" t="str">
        <x:v>Provides a robotics-centered synthesis of when POMDP structure is useful and how task characteristics affect model and solver selection.</x:v>
      </x:c>
      <x:c r="AT42" s="13" t="str">
        <x:v>POMDP deployment remains constrained by computational complexity, continuous and high-dimensional spaces, model acquisition, and gaps between assumed models and real systems.</x:v>
      </x:c>
      <x:c r="AU42" s="13" t="str">
        <x:v>Integrate model learning and planning more tightly, improve continuous-space and high-dimensional methods, and scale constrained POMDPs for safe robotics.</x:v>
      </x:c>
      <x:c r="AV42" s="13" t="str">
        <x:v>POMDP planning explicitly reasons through transition, observation, and reward models, which may be specified or learned, but this survey proposes no single world model.</x:v>
      </x:c>
      <x:c r="AW42" s="13" t="str">
        <x:v>The paper reviews exact, approximate, offline, online, Monte Carlo, and receding-horizon solution algorithms over belief states.</x:v>
      </x:c>
      <x:c r="AX42" s="13" t="str">
        <x:v>Both finite and infinite horizons, long-horizon abstraction, and online limited-horizon approximations are reviewed.</x:v>
      </x:c>
      <x:c r="AY42" s="13" t="str">
        <x:v>High</x:v>
      </x:c>
      <x:c r="AZ42" s="13" t="str">
        <x:v>Foundational planning-under-uncertainty survey; retain for theoretical framing but exclude from method and architecture counts.</x:v>
      </x:c>
      <x:c r="BA42" s="13" t="str">
        <x:v>Partially Observable Markov Decision Processes in Robotics_ A Survey.txt</x:v>
      </x:c>
    </x:row>
    <x:row r="43">
      <x:c r="A43" s="13" t="str">
        <x:v>batch_09</x:v>
      </x:c>
      <x:c r="B43" s="13" t="str">
        <x:v>B09-002</x:v>
      </x:c>
      <x:c r="C43" s="13" t="str">
        <x:v>PIVOT-R: Primitive-Driven Waypoint-Aware World Model for Robotic Manipulation</x:v>
      </x:c>
      <x:c r="D43" s="13" t="str">
        <x:v>Kaidong Zhang; Pengzhen Ren; Bingqian Lin; Junfan Lin; Shikui Ma; Hang Xu; Xiaodan Liang</x:v>
      </x:c>
      <x:c r="E43" s="13" t="n">
        <x:v>2024</x:v>
      </x:c>
      <x:c r="F43" s="13" t="str">
        <x:v>First public appearance: arXiv:2410.10394 in Oct 2024; published at NeurIPS 2024</x:v>
      </x:c>
      <x:c r="G43" s="13" t="str">
        <x:v>Advances in Neural Information Processing Systems (NeurIPS)</x:v>
      </x:c>
      <x:c r="H43" s="13" t="str">
        <x:v>Peer-reviewed conference article</x:v>
      </x:c>
      <x:c r="I43" s="13" t="str">
        <x:v>Method</x:v>
      </x:c>
      <x:c r="J43" s="13" t="str"/>
      <x:c r="K43" s="13" t="str">
        <x:v>arXiv:2410.10394</x:v>
      </x:c>
      <x:c r="L43" s="13" t="str">
        <x:v>Unknown</x:v>
      </x:c>
      <x:c r="M43" s="13" t="str">
        <x:v>A project website is provided, but a public code release was not established from the supplied manuscript.</x:v>
      </x:c>
      <x:c r="N43" s="13" t="str">
        <x:v>Language-Guided Manipulation; Vision-Language-Action Control</x:v>
      </x:c>
      <x:c r="O43" s="13" t="str">
        <x:v>World Modeling; Policy Learning; Waypoint Prediction; Efficient Execution</x:v>
      </x:c>
      <x:c r="P43" s="13" t="str">
        <x:v>No</x:v>
      </x:c>
      <x:c r="Q43" s="13" t="str">
        <x:v>Yes</x:v>
      </x:c>
      <x:c r="R43" s="13" t="str">
        <x:v>No</x:v>
      </x:c>
      <x:c r="S43" s="13" t="str">
        <x:v>Yes</x:v>
      </x:c>
      <x:c r="T43" s="13" t="str">
        <x:v>Latent Dynamics</x:v>
      </x:c>
      <x:c r="U43" s="13" t="str">
        <x:v>A VLM parses one of ten manipulation primitives, and a scene-prediction transformer predicts the CLIP feature of a task-relevant future waypoint for conditioning a lightweight action decoder.</x:v>
      </x:c>
      <x:c r="V43" s="13" t="str">
        <x:v>Latent / Observation</x:v>
      </x:c>
      <x:c r="W43" s="13" t="str">
        <x:v>Task-relevant future waypoint image feature</x:v>
      </x:c>
      <x:c r="X43" s="13" t="str">
        <x:v>Yes — conditioned on current observations, robot state, action history, and primitive prompt</x:v>
      </x:c>
      <x:c r="Y43" s="13" t="str">
        <x:v>No</x:v>
      </x:c>
      <x:c r="Z43" s="13" t="str">
        <x:v>No</x:v>
      </x:c>
      <x:c r="AA43" s="13" t="str">
        <x:v>None — primitive parsing and waypoint prediction feed a direct action policy without search or candidate rollout evaluation</x:v>
      </x:c>
      <x:c r="AB43" s="13" t="str">
        <x:v>N/A</x:v>
      </x:c>
      <x:c r="AC43" s="13" t="str">
        <x:v>None</x:v>
      </x:c>
      <x:c r="AD43" s="13" t="str">
        <x:v>The method predicts the next task-relevant waypoint and low-level action; SeaWave levels measure instruction complexity rather than temporal horizon.</x:v>
      </x:c>
      <x:c r="AE43" s="13" t="str">
        <x:v>No — modules run at different frequencies, but no separate task-level plan is optimized</x:v>
      </x:c>
      <x:c r="AF43" s="13" t="str">
        <x:v>Yes — primitive, waypoint, and action predictions are refreshed asynchronously from current observations</x:v>
      </x:c>
      <x:c r="AG43" s="13" t="str">
        <x:v>Local Controller</x:v>
      </x:c>
      <x:c r="AH43" s="13" t="str">
        <x:v>Imitation Learning; Latent Waypoint Prediction; Vision-Language Pretraining</x:v>
      </x:c>
      <x:c r="AI43" s="13" t="str">
        <x:v>Waypoint-Conditioned Vision-Language-Action Policy</x:v>
      </x:c>
      <x:c r="AJ43" s="13" t="str">
        <x:v>Yes — pretrained VLM and CLIP encoders</x:v>
      </x:c>
      <x:c r="AK43" s="13" t="str">
        <x:v>First- and third-person RGB; language; robot state; action history</x:v>
      </x:c>
      <x:c r="AL43" s="13" t="str">
        <x:v>Natural-language instruction parsed into manipulation primitives</x:v>
      </x:c>
      <x:c r="AM43" s="13" t="str">
        <x:v>Discretized delta position, delta Euler rotation, and binary gripper state</x:v>
      </x:c>
      <x:c r="AN43" s="13" t="str">
        <x:v>SeaWave four-level instruction benchmark; three custom real-world tasks</x:v>
      </x:c>
      <x:c r="AO43" s="13" t="str">
        <x:v>SeaWave simulated manipulator; real robot platform not specified in the extracted manuscript text</x:v>
      </x:c>
      <x:c r="AP43" s="13" t="str">
        <x:v>Yes</x:v>
      </x:c>
      <x:c r="AQ43" s="13" t="str">
        <x:v>Yes</x:v>
      </x:c>
      <x:c r="AR43" s="13" t="str">
        <x:v>Predicts sparse task-relevant visual waypoints rather than modeling every timestep, improving manipulation accuracy and execution efficiency.</x:v>
      </x:c>
      <x:c r="AS43" s="13" t="str">
        <x:v>Combines primitive-guided latent waypoint prediction with an asynchronous hierarchy whose modules run at different frequencies.</x:v>
      </x:c>
      <x:c r="AT43" s="13" t="str">
        <x:v>High-level primitive instructions and executed low-level actions can disagree, particularly for directional commands, and large action modules may overfit.</x:v>
      </x:c>
      <x:c r="AU43" s="13" t="str">
        <x:v>Strengthen consistency between high-level instructions and low-level execution so actions can adapt reliably to requested changes.</x:v>
      </x:c>
      <x:c r="AV43" s="13" t="str">
        <x:v>The scene module predicts the latent CLIP representation of a future waypoint state from current multimodal context.</x:v>
      </x:c>
      <x:c r="AW43" s="13" t="str">
        <x:v>No search, MPC, or multi-candidate rollout stage is used; the predicted waypoint directly conditions action decoding.</x:v>
      </x:c>
      <x:c r="AX43" s="13" t="str">
        <x:v>The benchmark contains individual manipulation skills with progressively harder language grounding, not long-horizon multi-stage tasks.</x:v>
      </x:c>
      <x:c r="AY43" s="13" t="str">
        <x:v>High</x:v>
      </x:c>
      <x:c r="AZ43" s="13" t="str">
        <x:v>Core predictive waypoint world model, but exclude from explicit-planner counts. Do not interpret SeaWave Level 4 as long-horizon.</x:v>
      </x:c>
      <x:c r="BA43" s="13" t="str">
        <x:v>PIVOT-R_ Primitive-Driven Waypoint-Aware World Model for Robotic Manipulation.txt</x:v>
      </x:c>
    </x:row>
    <x:row r="44">
      <x:c r="A44" s="13" t="str">
        <x:v>batch_09</x:v>
      </x:c>
      <x:c r="B44" s="13" t="str">
        <x:v>B09-003</x:v>
      </x:c>
      <x:c r="C44" s="13" t="str">
        <x:v>Planning Single-Arm Manipulations with N-Arm Robots</x:v>
      </x:c>
      <x:c r="D44" s="13" t="str">
        <x:v>Benjamin Cohen; Mike Phillips; Maxim Likhachev</x:v>
      </x:c>
      <x:c r="E44" s="13" t="n">
        <x:v>2014</x:v>
      </x:c>
      <x:c r="F44" s="13" t="str">
        <x:v>Original paper appeared at Robotics: Science and Systems 2014; supplied file is a short version published at SoCS 2015</x:v>
      </x:c>
      <x:c r="G44" s="13" t="str">
        <x:v>Robotics: Science and Systems (RSS)</x:v>
      </x:c>
      <x:c r="H44" s="13" t="str">
        <x:v>Peer-reviewed conference article; short version in SoCS 2015</x:v>
      </x:c>
      <x:c r="I44" s="13" t="str">
        <x:v>Method</x:v>
      </x:c>
      <x:c r="J44" s="13" t="str"/>
      <x:c r="K44" s="13" t="str">
        <x:v>RSS 2014</x:v>
      </x:c>
      <x:c r="L44" s="13" t="str">
        <x:v>Unknown</x:v>
      </x:c>
      <x:c r="M44" s="13" t="str">
        <x:v>No code release was identified in the supplied short paper.</x:v>
      </x:c>
      <x:c r="N44" s="13" t="str">
        <x:v>Multi-Arm Manipulation; Object Transport; Handover Planning</x:v>
      </x:c>
      <x:c r="O44" s="13" t="str">
        <x:v>Planning; Multi-Arm Coordination; Motion Planning</x:v>
      </x:c>
      <x:c r="P44" s="13" t="str">
        <x:v>No</x:v>
      </x:c>
      <x:c r="Q44" s="13" t="str">
        <x:v>No</x:v>
      </x:c>
      <x:c r="R44" s="13" t="str">
        <x:v>No</x:v>
      </x:c>
      <x:c r="S44" s="13" t="str">
        <x:v>No</x:v>
      </x:c>
      <x:c r="T44" s="13" t="str">
        <x:v>None</x:v>
      </x:c>
      <x:c r="U44" s="13" t="str">
        <x:v>N/A — the system uses an explicit kinematic and collision model.</x:v>
      </x:c>
      <x:c r="V44" s="13" t="str">
        <x:v>N/A</x:v>
      </x:c>
      <x:c r="W44" s="13" t="str">
        <x:v>N/A</x:v>
      </x:c>
      <x:c r="X44" s="13" t="str">
        <x:v>N/A</x:v>
      </x:c>
      <x:c r="Y44" s="13" t="str">
        <x:v>No</x:v>
      </x:c>
      <x:c r="Z44" s="13" t="str">
        <x:v>Yes</x:v>
      </x:c>
      <x:c r="AA44" s="13" t="str">
        <x:v>Lazy Weighted A*; Graph Search</x:v>
      </x:c>
      <x:c r="AB44" s="13" t="str">
        <x:v>Hybrid graph over object pose, supporting arm, grasp, and manipulator redundancy parameters</x:v>
      </x:c>
      <x:c r="AC44" s="13" t="str">
        <x:v>Short</x:v>
      </x:c>
      <x:c r="AD44" s="13" t="str">
        <x:v>Each problem moves one object from a start to a goal pose and typically requires roughly one to two handoffs.</x:v>
      </x:c>
      <x:c r="AE44" s="13" t="str">
        <x:v>No — discrete arm/grasp choices and continuous motion are handled within one search representation</x:v>
      </x:c>
      <x:c r="AF44" s="13" t="str">
        <x:v>No</x:v>
      </x:c>
      <x:c r="AG44" s="13" t="str">
        <x:v>Full End-to-End Planner</x:v>
      </x:c>
      <x:c r="AH44" s="13" t="str">
        <x:v>None — heuristic search and motion planning</x:v>
      </x:c>
      <x:c r="AI44" s="13" t="str">
        <x:v>None</x:v>
      </x:c>
      <x:c r="AJ44" s="13" t="str">
        <x:v>No</x:v>
      </x:c>
      <x:c r="AK44" s="13" t="str">
        <x:v>Known object pose, obstacles, robot kinematics, and grasp set</x:v>
      </x:c>
      <x:c r="AL44" s="13" t="str">
        <x:v>Target object pose in SE(3)</x:v>
      </x:c>
      <x:c r="AM44" s="13" t="str">
        <x:v>Object-pose motion primitives, free-angle changes, grasp changes, and arm handoffs</x:v>
      </x:c>
      <x:c r="AN44" s="13" t="str">
        <x:v>Four planning scenes: two-arm tabletop, three-arm bar, three-arm checkout, and four-arm factory</x:v>
      </x:c>
      <x:c r="AO44" s="13" t="str">
        <x:v>Two to four simulated PR2 7-DoF arms</x:v>
      </x:c>
      <x:c r="AP44" s="13" t="str">
        <x:v>Yes</x:v>
      </x:c>
      <x:c r="AQ44" s="13" t="str">
        <x:v>No</x:v>
      </x:c>
      <x:c r="AR44" s="13" t="str">
        <x:v>Plans object transport across an arbitrary number of overlapping robot arms while jointly selecting arm order, grasps, handoff locations, and collision-free motions.</x:v>
      </x:c>
      <x:c r="AS44" s="13" t="str">
        <x:v>Searches primarily in the object's six-dimensional pose while tracking only the currently supporting arm, avoiding the full joint configuration space of all arms.</x:v>
      </x:c>
      <x:c r="AT44" s="13" t="str">
        <x:v>The method assumes unused arms remain in predefined safe configurations, evaluates only one transported object, and shows an 80% success rate across 25 simulated trials.</x:v>
      </x:c>
      <x:c r="AU44" s="13" t="str">
        <x:v>Not explicitly stated in the supplied short paper.</x:v>
      </x:c>
      <x:c r="AV44" s="13" t="str">
        <x:v>The planner uses deterministic kinematics, inverse kinematics, and collision checking rather than learned dynamics.</x:v>
      </x:c>
      <x:c r="AW44" s="13" t="str">
        <x:v>Lazy Weighted A* jointly searches object motions, arm support changes, grasp choices, and handoff feasibility.</x:v>
      </x:c>
      <x:c r="AX44" s="13" t="str">
        <x:v>The task is a single object relocation with an average of approximately 1.3–2 handoffs, rather than a long task sequence.</x:v>
      </x:c>
      <x:c r="AY44" s="13" t="str">
        <x:v>High</x:v>
      </x:c>
      <x:c r="AZ44" s="13" t="str">
        <x:v>Historical multi-arm manipulation-planning baseline; record year as 2014 under the original-publication rule.</x:v>
      </x:c>
      <x:c r="BA44" s="13" t="str">
        <x:v>Planning Single-Arm Manipulations with N-Arm Robots.txt</x:v>
      </x:c>
    </x:row>
    <x:row r="45">
      <x:c r="A45" s="13" t="str">
        <x:v>batch_09</x:v>
      </x:c>
      <x:c r="B45" s="13" t="str">
        <x:v>B09-004</x:v>
      </x:c>
      <x:c r="C45" s="13" t="str">
        <x:v>Real-world robot applications of foundation models: a review</x:v>
      </x:c>
      <x:c r="D45" s="13" t="str">
        <x:v>Kento Kawaharazuka; Tatsuya Matsushima; Andrew Gambardella; Jiaxian Guo; Chris Paxton; Andy Zeng</x:v>
      </x:c>
      <x:c r="E45" s="13" t="n">
        <x:v>2024</x:v>
      </x:c>
      <x:c r="F45" s="13" t="str">
        <x:v>Published online 16 Oct 2024</x:v>
      </x:c>
      <x:c r="G45" s="13" t="str">
        <x:v>Advanced Robotics</x:v>
      </x:c>
      <x:c r="H45" s="13" t="str">
        <x:v>Peer-reviewed journal review article</x:v>
      </x:c>
      <x:c r="I45" s="13" t="str">
        <x:v>Survey</x:v>
      </x:c>
      <x:c r="J45" s="13" t="str"/>
      <x:c r="K45" s="13" t="str">
        <x:v>10.1080/01691864.2024.2408593</x:v>
      </x:c>
      <x:c r="L45" s="13" t="str">
        <x:v>Unknown</x:v>
      </x:c>
      <x:c r="M45" s="13" t="str">
        <x:v>The article is open access, but no single companion code repository is associated with the review.</x:v>
      </x:c>
      <x:c r="N45" s="13" t="str">
        <x:v>General Robotics; Foundation Models; Real-World Deployment</x:v>
      </x:c>
      <x:c r="O45" s="13" t="str">
        <x:v>Survey; Foundation Models; Perception; Planning; Control</x:v>
      </x:c>
      <x:c r="P45" s="13" t="str">
        <x:v>N/A — reviews high-level and low-level planning applications</x:v>
      </x:c>
      <x:c r="Q45" s="13" t="str">
        <x:v>N/A — many reviewed systems use language</x:v>
      </x:c>
      <x:c r="R45" s="13" t="str">
        <x:v>N/A — human interaction and communication applications are reviewed</x:v>
      </x:c>
      <x:c r="S45" s="13" t="str">
        <x:v>N/A — generative and multimodal foundation models are reviewed among broader model classes</x:v>
      </x:c>
      <x:c r="T45" s="13" t="str">
        <x:v>N/A — multiple foundation-model and generative-model families</x:v>
      </x:c>
      <x:c r="U45" s="13" t="str">
        <x:v>Organizes foundation models by modality and input-output mapping, then studies their replacement of perception, planning, control, and data-generation components.</x:v>
      </x:c>
      <x:c r="V45" s="13" t="str">
        <x:v>N/A</x:v>
      </x:c>
      <x:c r="W45" s="13" t="str">
        <x:v>N/A</x:v>
      </x:c>
      <x:c r="X45" s="13" t="str">
        <x:v>N/A</x:v>
      </x:c>
      <x:c r="Y45" s="13" t="str">
        <x:v>N/A</x:v>
      </x:c>
      <x:c r="Z45" s="13" t="str">
        <x:v>N/A — high-level planning, code generation, and low-level planning applications are reviewed</x:v>
      </x:c>
      <x:c r="AA45" s="13" t="str">
        <x:v>N/A</x:v>
      </x:c>
      <x:c r="AB45" s="13" t="str">
        <x:v>Multiple: language, code, latent features, images, actions, and skills</x:v>
      </x:c>
      <x:c r="AC45" s="13" t="str">
        <x:v>N/A</x:v>
      </x:c>
      <x:c r="AD45" s="13" t="str">
        <x:v>The review discusses hierarchical skills and long-horizon code or task planning but proposes no single planner.</x:v>
      </x:c>
      <x:c r="AE45" s="13" t="str">
        <x:v>N/A</x:v>
      </x:c>
      <x:c r="AF45" s="13" t="str">
        <x:v>N/A</x:v>
      </x:c>
      <x:c r="AG45" s="13" t="str">
        <x:v>N/A</x:v>
      </x:c>
      <x:c r="AH45" s="13" t="str">
        <x:v>N/A</x:v>
      </x:c>
      <x:c r="AI45" s="13" t="str">
        <x:v>N/A</x:v>
      </x:c>
      <x:c r="AJ45" s="13" t="str">
        <x:v>N/A</x:v>
      </x:c>
      <x:c r="AK45" s="13" t="str">
        <x:v>Language; vision; audio; 3D; force and other modalities</x:v>
      </x:c>
      <x:c r="AL45" s="13" t="str">
        <x:v>Multiple</x:v>
      </x:c>
      <x:c r="AM45" s="13" t="str">
        <x:v>Multiple</x:v>
      </x:c>
      <x:c r="AN45" s="13" t="str">
        <x:v>Multiple real-world robot studies and robotic foundation-model datasets</x:v>
      </x:c>
      <x:c r="AO45" s="13" t="str">
        <x:v>Multiple</x:v>
      </x:c>
      <x:c r="AP45" s="13" t="str">
        <x:v>Both / Survey</x:v>
      </x:c>
      <x:c r="AQ45" s="13" t="str">
        <x:v>Both / Survey</x:v>
      </x:c>
      <x:c r="AR45" s="13" t="str">
        <x:v>Surveys how foundation models can replace or augment specific components in practical robot systems, from perception through planning and control.</x:v>
      </x:c>
      <x:c r="AS45" s="13" t="str">
        <x:v>Uses input-output modality transformations and robot-stack component replacement as its organizing framework, with emphasis on real-world deployment.</x:v>
      </x:c>
      <x:c r="AT45" s="13" t="str">
        <x:v>The field still underuses force, depth, inertial, and motion modalities; control rates are slow; low-level force control, safety, outdoor deployment, hardware diversity, and fair real-world evaluation remain limited.</x:v>
      </x:c>
      <x:c r="AU45" s="13" t="str">
        <x:v>Develop hierarchical skill interfaces, faster and safer embodied foundation models, richer multimodal sensing, broader hardware and outdoor deployment, stronger open-world generalization, and real-world evaluation standards.</x:v>
      </x:c>
      <x:c r="AV45" s="13" t="str">
        <x:v>Generative and multimodal models are reviewed, but the paper does not propose one predictive environment model.</x:v>
      </x:c>
      <x:c r="AW45" s="13" t="str">
        <x:v>The survey separately reviews high-level task planning, code generation, low-level planning, control, and data augmentation.</x:v>
      </x:c>
      <x:c r="AX45" s="13" t="str">
        <x:v>It identifies skill hierarchy and planning granularity as future challenges rather than evaluating a paper-specific horizon.</x:v>
      </x:c>
      <x:c r="AY45" s="13" t="str">
        <x:v>High</x:v>
      </x:c>
      <x:c r="AZ45" s="13" t="str">
        <x:v>Supporting survey for foundation-model deployment and component-level analysis; exclude from method-only counts.</x:v>
      </x:c>
      <x:c r="BA45" s="13" t="str">
        <x:v>Real-world robot applications of foundation models  a review.txt</x:v>
      </x:c>
    </x:row>
    <x:row r="46">
      <x:c r="A46" s="13" t="str">
        <x:v>batch_09</x:v>
      </x:c>
      <x:c r="B46" s="13" t="str">
        <x:v>B09-005</x:v>
      </x:c>
      <x:c r="C46" s="13" t="str">
        <x:v>Research status of elderly-care robots and safe human-robot interaction methods</x:v>
      </x:c>
      <x:c r="D46" s="13" t="str">
        <x:v>Donghui Zhao; Xingwang Sun; Bo Shan; Zihao Yang; Junyou Yang; Houde Liu; Yinlai Jiang; Yokoi Hiroshi</x:v>
      </x:c>
      <x:c r="E46" s="13" t="n">
        <x:v>2023</x:v>
      </x:c>
      <x:c r="F46" s="13" t="str">
        <x:v>Published 30 Nov 2023</x:v>
      </x:c>
      <x:c r="G46" s="13" t="str">
        <x:v>Frontiers in Neuroscience</x:v>
      </x:c>
      <x:c r="H46" s="13" t="str">
        <x:v>Peer-reviewed review article</x:v>
      </x:c>
      <x:c r="I46" s="13" t="str">
        <x:v>Survey</x:v>
      </x:c>
      <x:c r="J46" s="13" t="str"/>
      <x:c r="K46" s="13" t="str">
        <x:v>10.3389/fnins.2023.1291682</x:v>
      </x:c>
      <x:c r="L46" s="13" t="str">
        <x:v>Unknown</x:v>
      </x:c>
      <x:c r="M46" s="13" t="str">
        <x:v>The article is open access under CC BY; no companion software resource is associated with the review.</x:v>
      </x:c>
      <x:c r="N46" s="13" t="str">
        <x:v>Elderly-Care Robotics; Assistive Robotics; Human-Robot Interaction</x:v>
      </x:c>
      <x:c r="O46" s="13" t="str">
        <x:v>Survey; Safe Human-Robot Interaction; Assistive Robotics</x:v>
      </x:c>
      <x:c r="P46" s="13" t="str">
        <x:v>N/A</x:v>
      </x:c>
      <x:c r="Q46" s="13" t="str">
        <x:v>N/A</x:v>
      </x:c>
      <x:c r="R46" s="13" t="str">
        <x:v>N/A — safe interaction is the survey's central topic</x:v>
      </x:c>
      <x:c r="S46" s="13" t="str">
        <x:v>N/A — not focused on learned predictive world models</x:v>
      </x:c>
      <x:c r="T46" s="13" t="str">
        <x:v>N/A</x:v>
      </x:c>
      <x:c r="U46" s="13" t="str">
        <x:v>Reviews sensing, prediction, control, planning, biomechanics, and social factors for safe elderly-care interaction.</x:v>
      </x:c>
      <x:c r="V46" s="13" t="str">
        <x:v>N/A</x:v>
      </x:c>
      <x:c r="W46" s="13" t="str">
        <x:v>N/A</x:v>
      </x:c>
      <x:c r="X46" s="13" t="str">
        <x:v>N/A</x:v>
      </x:c>
      <x:c r="Y46" s="13" t="str">
        <x:v>N/A</x:v>
      </x:c>
      <x:c r="Z46" s="13" t="str">
        <x:v>N/A — motion planning and prediction are reviewed as safety mechanisms</x:v>
      </x:c>
      <x:c r="AA46" s="13" t="str">
        <x:v>N/A</x:v>
      </x:c>
      <x:c r="AB46" s="13" t="str">
        <x:v>N/A</x:v>
      </x:c>
      <x:c r="AC46" s="13" t="str">
        <x:v>N/A</x:v>
      </x:c>
      <x:c r="AD46" s="13" t="str">
        <x:v>No single planning architecture or normalized horizon is evaluated.</x:v>
      </x:c>
      <x:c r="AE46" s="13" t="str">
        <x:v>N/A</x:v>
      </x:c>
      <x:c r="AF46" s="13" t="str">
        <x:v>N/A</x:v>
      </x:c>
      <x:c r="AG46" s="13" t="str">
        <x:v>N/A</x:v>
      </x:c>
      <x:c r="AH46" s="13" t="str">
        <x:v>N/A</x:v>
      </x:c>
      <x:c r="AI46" s="13" t="str">
        <x:v>N/A</x:v>
      </x:c>
      <x:c r="AJ46" s="13" t="str">
        <x:v>N/A</x:v>
      </x:c>
      <x:c r="AK46" s="13" t="str">
        <x:v>Multiple: physiological sensors, vision, wearable sensing, force, motion, and smart-home sensors</x:v>
      </x:c>
      <x:c r="AL46" s="13" t="str">
        <x:v>Multiple care, rehabilitation, monitoring, and companionship objectives</x:v>
      </x:c>
      <x:c r="AM46" s="13" t="str">
        <x:v>Multiple</x:v>
      </x:c>
      <x:c r="AN46" s="13" t="str">
        <x:v>Multiple elderly-care robot systems, rehabilitation devices, companion robots, and safe-HRI studies</x:v>
      </x:c>
      <x:c r="AO46" s="13" t="str">
        <x:v>Multiple</x:v>
      </x:c>
      <x:c r="AP46" s="13" t="str">
        <x:v>Both / Survey</x:v>
      </x:c>
      <x:c r="AQ46" s="13" t="str">
        <x:v>Both / Survey</x:v>
      </x:c>
      <x:c r="AR46" s="13" t="str">
        <x:v>Reviews elderly-care robot categories, nursing modes, and the technical and social methods needed for safe interaction with frail users.</x:v>
      </x:c>
      <x:c r="AS46" s="13" t="str">
        <x:v>Integrates robot-care functions with physical safety, intention understanding, biomechanics, ethics, psychology, and user acceptance.</x:v>
      </x:c>
      <x:c r="AT46" s="13" t="str">
        <x:v>Current systems remain specialized, rely heavily on professional supervision, have limited flexibility and autonomy, and face safety, ethical, privacy, and acceptance barriers.</x:v>
      </x:c>
      <x:c r="AU46" s="13" t="str">
        <x:v>Coordinate heterogeneous assistive robots, build robot-and-sensor smart-home care models, improve mechanical flexibility and safety, and increase user acceptance.</x:v>
      </x:c>
      <x:c r="AV46" s="13" t="str">
        <x:v>The review includes prediction and sensing methods for safety but is not organized around learned action-conditioned environment models.</x:v>
      </x:c>
      <x:c r="AW46" s="13" t="str">
        <x:v>Motion planning and prediction are discussed as components of safe interaction rather than as one proposed planner.</x:v>
      </x:c>
      <x:c r="AX46" s="13" t="str">
        <x:v>The paper provides no paper-level planning horizon.</x:v>
      </x:c>
      <x:c r="AY46" s="13" t="str">
        <x:v>High</x:v>
      </x:c>
      <x:c r="AZ46" s="13" t="str">
        <x:v>Peripheral to the core world-model and long-horizon manipulation corpus; retain only for HRI and safety context.</x:v>
      </x:c>
      <x:c r="BA46" s="13" t="str">
        <x:v>Research status of elderly-care robots and safe human-robot interaction methods.txt</x:v>
      </x:c>
    </x:row>
    <x:row r="47">
      <x:c r="A47" s="13" t="str">
        <x:v>batch_10</x:v>
      </x:c>
      <x:c r="B47" s="13" t="str">
        <x:v>B10-001</x:v>
      </x:c>
      <x:c r="C47" s="13" t="str">
        <x:v>Sim-to-Real Surgical Robot Learning and Autonomous Planning for Internal Tissue Points Manipulation using Reinforcement Learning</x:v>
      </x:c>
      <x:c r="D47" s="13" t="str">
        <x:v>Yafei Ou; Mahdi Tavakoli</x:v>
      </x:c>
      <x:c r="E47" s="13" t="n">
        <x:v>2023</x:v>
      </x:c>
      <x:c r="F47" s="13" t="str">
        <x:v>Accepted by IEEE RA-L in February 2023; arXiv:2306.14085 v1 appeared 25 Jun 2023</x:v>
      </x:c>
      <x:c r="G47" s="13" t="str">
        <x:v>IEEE Robotics and Automation Letters</x:v>
      </x:c>
      <x:c r="H47" s="13" t="str">
        <x:v>Peer-reviewed journal article</x:v>
      </x:c>
      <x:c r="I47" s="13" t="str">
        <x:v>Method</x:v>
      </x:c>
      <x:c r="J47" s="13" t="str"/>
      <x:c r="K47" s="13" t="str">
        <x:v>10.1109/LRA.2023.3254860; arXiv:2306.14085</x:v>
      </x:c>
      <x:c r="L47" s="13" t="str">
        <x:v>Unknown</x:v>
      </x:c>
      <x:c r="M47" s="13" t="str">
        <x:v>No paper-specific code release was identified; the simulation environment is built with the open-source SOFA framework.</x:v>
      </x:c>
      <x:c r="N47" s="13" t="str">
        <x:v>Surgical Robotics; Deformable Tissue Manipulation; Dual-Arm Manipulation</x:v>
      </x:c>
      <x:c r="O47" s="13" t="str">
        <x:v>Sim-to-Real Policy Learning; Preoperative Planning; Deformable-Object Control</x:v>
      </x:c>
      <x:c r="P47" s="13" t="str">
        <x:v>No</x:v>
      </x:c>
      <x:c r="Q47" s="13" t="str">
        <x:v>No</x:v>
      </x:c>
      <x:c r="R47" s="13" t="str">
        <x:v>No</x:v>
      </x:c>
      <x:c r="S47" s="13" t="str">
        <x:v>No</x:v>
      </x:c>
      <x:c r="T47" s="13" t="str">
        <x:v>None</x:v>
      </x:c>
      <x:c r="U47" s="13" t="str">
        <x:v>N/A — the method uses an explicit FEM simulator for training and optimization rather than learning a predictive environment model.</x:v>
      </x:c>
      <x:c r="V47" s="13" t="str">
        <x:v>N/A</x:v>
      </x:c>
      <x:c r="W47" s="13" t="str">
        <x:v>N/A</x:v>
      </x:c>
      <x:c r="X47" s="13" t="str">
        <x:v>N/A</x:v>
      </x:c>
      <x:c r="Y47" s="13" t="str">
        <x:v>No</x:v>
      </x:c>
      <x:c r="Z47" s="13" t="str">
        <x:v>Yes</x:v>
      </x:c>
      <x:c r="AA47" s="13" t="str">
        <x:v>Bayesian Optimization; Preoperative Planning</x:v>
      </x:c>
      <x:c r="AB47" s="13" t="str">
        <x:v>Continuous grasp-point parameters evaluated through an FEM simulator and learned SAC policy</x:v>
      </x:c>
      <x:c r="AC47" s="13" t="str">
        <x:v>Short</x:v>
      </x:c>
      <x:c r="AD47" s="13" t="str">
        <x:v>Bayesian optimization selects one pair of grasping points before a single internal-tissue positioning episode.</x:v>
      </x:c>
      <x:c r="AE47" s="13" t="str">
        <x:v>Yes — a preoperative grasp-point planner configures a separate low-level manipulation policy</x:v>
      </x:c>
      <x:c r="AF47" s="13" t="str">
        <x:v>No — grasp points are optimized before execution</x:v>
      </x:c>
      <x:c r="AG47" s="13" t="str">
        <x:v>High-Level Planner</x:v>
      </x:c>
      <x:c r="AH47" s="13" t="str">
        <x:v>Sim-to-Real Deep Reinforcement Learning; Domain Randomization; Bayesian Optimization</x:v>
      </x:c>
      <x:c r="AI47" s="13" t="str">
        <x:v>Soft Actor-Critic</x:v>
      </x:c>
      <x:c r="AJ47" s="13" t="str">
        <x:v>Yes — the control policy is trained entirely in FEM simulation before real deployment</x:v>
      </x:c>
      <x:c r="AK47" s="13" t="str">
        <x:v>Stereo vision; controlled tissue-point positions; target positions</x:v>
      </x:c>
      <x:c r="AL47" s="13" t="str">
        <x:v>Desired Cartesian positions of internal tissue points</x:v>
      </x:c>
      <x:c r="AM47" s="13" t="str">
        <x:v>Continuous 2D Cartesian displacement commands for two tissue grasping points</x:v>
      </x:c>
      <x:c r="AN47" s="13" t="str">
        <x:v>Custom SOFA FEM indirect simultaneous positioning environment and real phantom-tissue experiments</x:v>
      </x:c>
      <x:c r="AO47" s="13" t="str">
        <x:v>Two da Vinci Research Kit Patient Side Manipulators with a stereo camera system</x:v>
      </x:c>
      <x:c r="AP47" s="13" t="str">
        <x:v>Yes</x:v>
      </x:c>
      <x:c r="AQ47" s="13" t="str">
        <x:v>Yes</x:v>
      </x:c>
      <x:c r="AR47" s="13" t="str">
        <x:v>Combines simulation-trained SAC control with Bayesian optimization of surgical grasp points for accurate sim-to-real internal tissue positioning.</x:v>
      </x:c>
      <x:c r="AS47" s="13" t="str">
        <x:v>Uses a state-augmented MDP to handle inconsistent simulation timing and reuses the learned policy as the evaluator for preoperative grasp-point planning.</x:v>
      </x:c>
      <x:c r="AT47" s="13" t="str">
        <x:v>Assumes a mostly flat, mildly warped tissue surface and visually detectable internal points; local force is not directly minimized, and training and planning remain computationally expensive.</x:v>
      </x:c>
      <x:c r="AU47" s="13" t="str">
        <x:v>Add realistic 3D tissue reconstruction and internal-point localization, optimize applied force, extend to breast brachytherapy, automate grasping, and accelerate simulation and optimization with GPU parallelism.</x:v>
      </x:c>
      <x:c r="AV47" s="13" t="str">
        <x:v>FEM supplies a hand-engineered physical simulator; no learned action-conditioned transition model is proposed.</x:v>
      </x:c>
      <x:c r="AW47" s="13" t="str">
        <x:v>Bayesian optimization evaluates candidate grasp-point pairs in simulation using the trained policy before real execution.</x:v>
      </x:c>
      <x:c r="AX47" s="13" t="str">
        <x:v>The task is one surgical positioning subtask with fixed grasp points, not a multi-stage long-horizon procedure.</x:v>
      </x:c>
      <x:c r="AY47" s="13" t="str">
        <x:v>High</x:v>
      </x:c>
      <x:c r="AZ47" s="13" t="str">
        <x:v>Explicit simulator-based planning, but not a learned world model. Count as planning while keeping planning_horizon Short.</x:v>
      </x:c>
      <x:c r="BA47" s="13" t="str">
        <x:v>Sim-to-Real Surgical Robot Learning and Autonomous Planning for Internal Tissue Points Manipulation Using Reinforcement .txt</x:v>
      </x:c>
    </x:row>
    <x:row r="48">
      <x:c r="A48" s="13" t="str">
        <x:v>batch_10</x:v>
      </x:c>
      <x:c r="B48" s="13" t="str">
        <x:v>B10-002</x:v>
      </x:c>
      <x:c r="C48" s="13" t="str">
        <x:v>RT-1: Robotics Transformer for Real-World Control at Scale</x:v>
      </x:c>
      <x:c r="D48" s="13" t="str">
        <x:v>Anthony Brohan; Noah Brown; Justice Carbajal; Yevgen Chebotar; Joseph Dabis; Chelsea Finn; Keerthana Gopalakrishnan; Karol Hausman; et al.</x:v>
      </x:c>
      <x:c r="E48" s="13" t="n">
        <x:v>2022</x:v>
      </x:c>
      <x:c r="F48" s="13" t="str">
        <x:v>First public appearance: arXiv:2212.06817 in Dec 2022; published at RSS 2023</x:v>
      </x:c>
      <x:c r="G48" s="13" t="str">
        <x:v>Robotics: Science and Systems (RSS)</x:v>
      </x:c>
      <x:c r="H48" s="13" t="str">
        <x:v>Peer-reviewed conference article</x:v>
      </x:c>
      <x:c r="I48" s="13" t="str">
        <x:v>Method</x:v>
      </x:c>
      <x:c r="J48" s="13" t="str"/>
      <x:c r="K48" s="13" t="str">
        <x:v>arXiv:2212.06817; RSS 2023</x:v>
      </x:c>
      <x:c r="L48" s="13" t="str">
        <x:v>Yes</x:v>
      </x:c>
      <x:c r="M48" s="13" t="str">
        <x:v>The authors release model code through the Robotics Transformer repository and provide a public project website.</x:v>
      </x:c>
      <x:c r="N48" s="13" t="str">
        <x:v>Mobile Manipulation; Generalist Robot Policies; Real-World Control</x:v>
      </x:c>
      <x:c r="O48" s="13" t="str">
        <x:v>Policy Learning; Scaling; Generalization; Language-Conditioned Control</x:v>
      </x:c>
      <x:c r="P48" s="13" t="str">
        <x:v>Yes</x:v>
      </x:c>
      <x:c r="Q48" s="13" t="str">
        <x:v>Yes</x:v>
      </x:c>
      <x:c r="R48" s="13" t="str">
        <x:v>No</x:v>
      </x:c>
      <x:c r="S48" s="13" t="str">
        <x:v>No</x:v>
      </x:c>
      <x:c r="T48" s="13" t="str">
        <x:v>None</x:v>
      </x:c>
      <x:c r="U48" s="13" t="str">
        <x:v>N/A — RT-1 directly maps image history and a language instruction to tokenized robot actions.</x:v>
      </x:c>
      <x:c r="V48" s="13" t="str">
        <x:v>N/A</x:v>
      </x:c>
      <x:c r="W48" s="13" t="str">
        <x:v>Next discretized robot action</x:v>
      </x:c>
      <x:c r="X48" s="13" t="str">
        <x:v>No</x:v>
      </x:c>
      <x:c r="Y48" s="13" t="str">
        <x:v>No</x:v>
      </x:c>
      <x:c r="Z48" s="13" t="str">
        <x:v>No</x:v>
      </x:c>
      <x:c r="AA48" s="13" t="str">
        <x:v>None — direct closed-loop policy inference</x:v>
      </x:c>
      <x:c r="AB48" s="13" t="str">
        <x:v>N/A</x:v>
      </x:c>
      <x:c r="AC48" s="13" t="str">
        <x:v>None</x:v>
      </x:c>
      <x:c r="AD48" s="13" t="str">
        <x:v>Long-horizon execution is demonstrated when RT-1 is used as the low-level skill policy inside the external SayCan planner, including tasks of up to 50 stages.</x:v>
      </x:c>
      <x:c r="AE48" s="13" t="str">
        <x:v>No — RT-1 itself is the low-level policy rather than the SayCan planner</x:v>
      </x:c>
      <x:c r="AF48" s="13" t="str">
        <x:v>Yes — actions are regenerated from a six-image history and language instruction at approximately 3 Hz</x:v>
      </x:c>
      <x:c r="AG48" s="13" t="str">
        <x:v>Local Controller</x:v>
      </x:c>
      <x:c r="AH48" s="13" t="str">
        <x:v>Large-Scale Multitask Imitation Learning; Cross-Domain Data Absorption</x:v>
      </x:c>
      <x:c r="AI48" s="13" t="str">
        <x:v>Robotics Transformer; Tokenized Behavior-Cloning Policy</x:v>
      </x:c>
      <x:c r="AJ48" s="13" t="str">
        <x:v>Yes — trained on approximately 130,000 real-robot episodes spanning more than 700 tasks</x:v>
      </x:c>
      <x:c r="AK48" s="13" t="str">
        <x:v>History of six RGB images; natural-language instruction</x:v>
      </x:c>
      <x:c r="AL48" s="13" t="str">
        <x:v>Natural-language instruction</x:v>
      </x:c>
      <x:c r="AM48" s="13" t="str">
        <x:v>Eleven discretized outputs: six end-effector motions, gripper opening, three base motions, and an arm/base/terminate mode</x:v>
      </x:c>
      <x:c r="AN48" s="13" t="str">
        <x:v>More than 700 real-world tasks, 3,000 evaluation trials, office-kitchen generalization, simulation-data absorption, and SayCan long-horizon tasks</x:v>
      </x:c>
      <x:c r="AO48" s="13" t="str">
        <x:v>Fleet of 13 Everyday Robots mobile manipulators</x:v>
      </x:c>
      <x:c r="AP48" s="13" t="str">
        <x:v>Yes — simulation data are incorporated in data-absorption experiments</x:v>
      </x:c>
      <x:c r="AQ48" s="13" t="str">
        <x:v>Yes</x:v>
      </x:c>
      <x:c r="AR48" s="13" t="str">
        <x:v>Introduces an efficient high-capacity transformer policy trained at large real-robot scale and demonstrates strong task, object, environment, and data-source generalization.</x:v>
      </x:c>
      <x:c r="AS48" s="13" t="str">
        <x:v>Combines language-conditioned FiLM vision encoding, TokenLearner compression, and a decoder-only transformer to run a 35M-parameter policy in real time.</x:v>
      </x:c>
      <x:c r="AT48" s="13" t="str">
        <x:v>Imitation learning cannot exceed demonstrator quality; novel instructions must recombine seen concepts, evaluated environments remain similar to training kitchens, and the manipulation tasks are not highly dexterous.</x:v>
      </x:c>
      <x:c r="AU48" s="13" t="str">
        <x:v>Expand to more diverse environments, genuinely novel motions, broader and more dexterous instruction sets, and additional heterogeneous data sources.</x:v>
      </x:c>
      <x:c r="AV48" s="13" t="str">
        <x:v>The transformer directly outputs action tokens and does not predict future states, observations, rewards, or dynamics.</x:v>
      </x:c>
      <x:c r="AW48" s="13" t="str">
        <x:v>RT-1 performs low-level control; the external SayCan framework supplies long-horizon skill selection.</x:v>
      </x:c>
      <x:c r="AX48" s="13" t="str">
        <x:v>RT-1 enables SayCan executions of up to 50 stages, so task-level long_horizon is Yes while planning_horizon remains None.</x:v>
      </x:c>
      <x:c r="AY48" s="13" t="str">
        <x:v>High</x:v>
      </x:c>
      <x:c r="AZ48" s="13" t="str">
        <x:v>Core generalist-policy baseline. Long-horizon capability reflects composition by SayCan, not planning inside RT-1.</x:v>
      </x:c>
      <x:c r="BA48" s="13" t="str">
        <x:v>RT-1_ Robotics Transformer for Real-World Control at Scale.txt</x:v>
      </x:c>
    </x:row>
    <x:row r="49">
      <x:c r="A49" s="13" t="str">
        <x:v>batch_10</x:v>
      </x:c>
      <x:c r="B49" s="13" t="str">
        <x:v>B10-003</x:v>
      </x:c>
      <x:c r="C49" s="13" t="str">
        <x:v>Robot Learning From Randomized Simulations: A Review</x:v>
      </x:c>
      <x:c r="D49" s="13" t="str">
        <x:v>Fabio Muratore; Fabio Ramos; Greg Turk; Wenhao Yu; Michael Gienger; Jan Peters</x:v>
      </x:c>
      <x:c r="E49" s="13" t="n">
        <x:v>2022</x:v>
      </x:c>
      <x:c r="F49" s="13" t="str">
        <x:v>Published 11 Apr 2022</x:v>
      </x:c>
      <x:c r="G49" s="13" t="str">
        <x:v>Frontiers in Robotics and AI</x:v>
      </x:c>
      <x:c r="H49" s="13" t="str">
        <x:v>Peer-reviewed review article</x:v>
      </x:c>
      <x:c r="I49" s="13" t="str">
        <x:v>Survey</x:v>
      </x:c>
      <x:c r="J49" s="13" t="str"/>
      <x:c r="K49" s="13" t="str">
        <x:v>10.3389/frobt.2022.799893</x:v>
      </x:c>
      <x:c r="L49" s="13" t="str">
        <x:v>Unknown</x:v>
      </x:c>
      <x:c r="M49" s="13" t="str">
        <x:v>The article is open access, but no single companion implementation is associated with the broad review.</x:v>
      </x:c>
      <x:c r="N49" s="13" t="str">
        <x:v>General Robotics; Sim-to-Real Learning</x:v>
      </x:c>
      <x:c r="O49" s="13" t="str">
        <x:v>Survey; Domain Randomization; Simulation-to-Real Transfer</x:v>
      </x:c>
      <x:c r="P49" s="13" t="str">
        <x:v>N/A</x:v>
      </x:c>
      <x:c r="Q49" s="13" t="str">
        <x:v>N/A</x:v>
      </x:c>
      <x:c r="R49" s="13" t="str">
        <x:v>N/A</x:v>
      </x:c>
      <x:c r="S49" s="13" t="str">
        <x:v>N/A — reviews parameterized simulators and learned models but does not propose one world model</x:v>
      </x:c>
      <x:c r="T49" s="13" t="str">
        <x:v>N/A</x:v>
      </x:c>
      <x:c r="U49" s="13" t="str">
        <x:v>Reviews randomized physics simulators, parameter distributions, system identification, adaptive randomization, and related robust-learning methods.</x:v>
      </x:c>
      <x:c r="V49" s="13" t="str">
        <x:v>N/A</x:v>
      </x:c>
      <x:c r="W49" s="13" t="str">
        <x:v>N/A</x:v>
      </x:c>
      <x:c r="X49" s="13" t="str">
        <x:v>N/A</x:v>
      </x:c>
      <x:c r="Y49" s="13" t="str">
        <x:v>N/A</x:v>
      </x:c>
      <x:c r="Z49" s="13" t="str">
        <x:v>N/A — policy search and model-based methods are reviewed among broader sim-to-real approaches</x:v>
      </x:c>
      <x:c r="AA49" s="13" t="str">
        <x:v>N/A</x:v>
      </x:c>
      <x:c r="AB49" s="13" t="str">
        <x:v>N/A</x:v>
      </x:c>
      <x:c r="AC49" s="13" t="str">
        <x:v>N/A</x:v>
      </x:c>
      <x:c r="AD49" s="13" t="str">
        <x:v>No single planner or normalized horizon is evaluated.</x:v>
      </x:c>
      <x:c r="AE49" s="13" t="str">
        <x:v>N/A</x:v>
      </x:c>
      <x:c r="AF49" s="13" t="str">
        <x:v>N/A</x:v>
      </x:c>
      <x:c r="AG49" s="13" t="str">
        <x:v>N/A</x:v>
      </x:c>
      <x:c r="AH49" s="13" t="str">
        <x:v>N/A</x:v>
      </x:c>
      <x:c r="AI49" s="13" t="str">
        <x:v>N/A</x:v>
      </x:c>
      <x:c r="AJ49" s="13" t="str">
        <x:v>N/A</x:v>
      </x:c>
      <x:c r="AK49" s="13" t="str">
        <x:v>Multiple</x:v>
      </x:c>
      <x:c r="AL49" s="13" t="str">
        <x:v>Multiple task-specific objectives</x:v>
      </x:c>
      <x:c r="AM49" s="13" t="str">
        <x:v>Multiple</x:v>
      </x:c>
      <x:c r="AN49" s="13" t="str">
        <x:v>Multiple manipulation, locomotion, navigation, drone, and in-hand sim-to-real studies</x:v>
      </x:c>
      <x:c r="AO49" s="13" t="str">
        <x:v>Multiple</x:v>
      </x:c>
      <x:c r="AP49" s="13" t="str">
        <x:v>Both / Survey</x:v>
      </x:c>
      <x:c r="AQ49" s="13" t="str">
        <x:v>Both / Survey</x:v>
      </x:c>
      <x:c r="AR49" s="13" t="str">
        <x:v>Provides a comprehensive mathematical and practical review of domain randomization and learning robot policies from randomized simulations.</x:v>
      </x:c>
      <x:c r="AS49" s="13" t="str">
        <x:v>Introduces a domain-randomization taxonomy and connects sim-to-real practice with robust optimization, Bayesian inference, system identification, and policy search.</x:v>
      </x:c>
      <x:c r="AT49" s="13" t="str">
        <x:v>The reviewed field suffers from labor-intensive simulator construction, incomplete reporting of randomization choices, costly real-world validation, and uncertain transferability estimates.</x:v>
      </x:c>
      <x:c r="AU49" s="13" t="str">
        <x:v>Automate real-to-sim-to-real pipelines, improve adaptive and multi-fidelity randomization, develop stronger transfer metrics, and combine safe real-world adaptation with reusable simulation knowledge.</x:v>
      </x:c>
      <x:c r="AV49" s="13" t="str">
        <x:v>Simulators are parameterized generative models, but this review is not a proposed predictive world-model system.</x:v>
      </x:c>
      <x:c r="AW49" s="13" t="str">
        <x:v>The survey covers RL, policy search, model learning, and simulation optimization rather than one planning algorithm.</x:v>
      </x:c>
      <x:c r="AX49" s="13" t="str">
        <x:v>Planning horizon is not a paper-level variable in this survey.</x:v>
      </x:c>
      <x:c r="AY49" s="13" t="str">
        <x:v>High</x:v>
      </x:c>
      <x:c r="AZ49" s="13" t="str">
        <x:v>Supporting sim-to-real survey; retain for domain-randomization and simulation-method analyses, but exclude from method and world-model counts.</x:v>
      </x:c>
      <x:c r="BA49" s="13" t="str">
        <x:v>Robot Learning From Randomized Simulations_ A Review.txt</x:v>
      </x:c>
    </x:row>
    <x:row r="50">
      <x:c r="A50" s="13" t="str">
        <x:v>batch_10</x:v>
      </x:c>
      <x:c r="B50" s="13" t="str">
        <x:v>B10-004</x:v>
      </x:c>
      <x:c r="C50" s="13" t="str">
        <x:v>Robotic world models—conceptualization, review, and engineering best practices</x:v>
      </x:c>
      <x:c r="D50" s="13" t="str">
        <x:v>Ryo Sakagami; Florian S. Lay; Andreas Dömel; Martin J. Schuster; Alin Albu-Schäffer; Freek Stulp</x:v>
      </x:c>
      <x:c r="E50" s="13" t="n">
        <x:v>2023</x:v>
      </x:c>
      <x:c r="F50" s="13" t="str">
        <x:v>Published 2 Nov 2023</x:v>
      </x:c>
      <x:c r="G50" s="13" t="str">
        <x:v>Frontiers in Robotics and AI</x:v>
      </x:c>
      <x:c r="H50" s="13" t="str">
        <x:v>Peer-reviewed review article</x:v>
      </x:c>
      <x:c r="I50" s="13" t="str">
        <x:v>Survey</x:v>
      </x:c>
      <x:c r="J50" s="13" t="str"/>
      <x:c r="K50" s="13" t="str">
        <x:v>10.3389/frobt.2023.1253049</x:v>
      </x:c>
      <x:c r="L50" s="13" t="str">
        <x:v>Unknown</x:v>
      </x:c>
      <x:c r="M50" s="13" t="str">
        <x:v>The article is open access, but no single codebase accompanies this conceptual and engineering review.</x:v>
      </x:c>
      <x:c r="N50" s="13" t="str">
        <x:v>General Robotics; Software Architecture; World Modeling</x:v>
      </x:c>
      <x:c r="O50" s="13" t="str">
        <x:v>Survey; World-Model Conceptualization; Engineering Best Practices</x:v>
      </x:c>
      <x:c r="P50" s="13" t="str">
        <x:v>N/A</x:v>
      </x:c>
      <x:c r="Q50" s="13" t="str">
        <x:v>N/A</x:v>
      </x:c>
      <x:c r="R50" s="13" t="str">
        <x:v>N/A</x:v>
      </x:c>
      <x:c r="S50" s="13" t="str">
        <x:v>N/A — the paper reviews and defines multiple meanings of robotic world models</x:v>
      </x:c>
      <x:c r="T50" s="13" t="str">
        <x:v>N/A — classical shared-state architectures and predictive neural world models are both reviewed</x:v>
      </x:c>
      <x:c r="U50" s="13" t="str">
        <x:v>Defines a world model through its boundary, internal state, and operations, emphasizing information shared among sensing, planning, and acting components.</x:v>
      </x:c>
      <x:c r="V50" s="13" t="str">
        <x:v>N/A</x:v>
      </x:c>
      <x:c r="W50" s="13" t="str">
        <x:v>N/A</x:v>
      </x:c>
      <x:c r="X50" s="13" t="str">
        <x:v>N/A</x:v>
      </x:c>
      <x:c r="Y50" s="13" t="str">
        <x:v>N/A</x:v>
      </x:c>
      <x:c r="Z50" s="13" t="str">
        <x:v>N/A — planners are consumers of shared world-model state in many reviewed systems</x:v>
      </x:c>
      <x:c r="AA50" s="13" t="str">
        <x:v>N/A</x:v>
      </x:c>
      <x:c r="AB50" s="13" t="str">
        <x:v>Multiple: geometric maps, semantic knowledge, belief state, symbolic representations, and learned latent dynamics</x:v>
      </x:c>
      <x:c r="AC50" s="13" t="str">
        <x:v>N/A</x:v>
      </x:c>
      <x:c r="AD50" s="13" t="str">
        <x:v>No single planner or task horizon is evaluated.</x:v>
      </x:c>
      <x:c r="AE50" s="13" t="str">
        <x:v>N/A</x:v>
      </x:c>
      <x:c r="AF50" s="13" t="str">
        <x:v>N/A</x:v>
      </x:c>
      <x:c r="AG50" s="13" t="str">
        <x:v>N/A</x:v>
      </x:c>
      <x:c r="AH50" s="13" t="str">
        <x:v>N/A</x:v>
      </x:c>
      <x:c r="AI50" s="13" t="str">
        <x:v>N/A</x:v>
      </x:c>
      <x:c r="AJ50" s="13" t="str">
        <x:v>N/A</x:v>
      </x:c>
      <x:c r="AK50" s="13" t="str">
        <x:v>Multiple</x:v>
      </x:c>
      <x:c r="AL50" s="13" t="str">
        <x:v>Multiple</x:v>
      </x:c>
      <x:c r="AM50" s="13" t="str">
        <x:v>Multiple</x:v>
      </x:c>
      <x:c r="AN50" s="13" t="str">
        <x:v>Fifteen robotic world-model case studies spanning approximately four decades</x:v>
      </x:c>
      <x:c r="AO50" s="13" t="str">
        <x:v>Multiple</x:v>
      </x:c>
      <x:c r="AP50" s="13" t="str">
        <x:v>Both / Survey</x:v>
      </x:c>
      <x:c r="AQ50" s="13" t="str">
        <x:v>Both / Survey</x:v>
      </x:c>
      <x:c r="AR50" s="13" t="str">
        <x:v>Proposes consistent terminology, design dimensions, and software-engineering guidelines for implementing robotic world models.</x:v>
      </x:c>
      <x:c r="AS50" s="13" t="str">
        <x:v>Frames world-model design through boundary, state, and operations and derives guidance from 'design for use,' DRY, and low-coupling/high-cohesion principles.</x:v>
      </x:c>
      <x:c r="AT50" s="13" t="str">
        <x:v>There is no universal world-model design; guidelines can conflict or be infeasible, and appropriate boundaries and abstraction levels depend strongly on the robot, environment, and task.</x:v>
      </x:c>
      <x:c r="AU50" s="13" t="str">
        <x:v>Design world models for less controlled environments and increasingly complex systems containing more diverse hardware and software components.</x:v>
      </x:c>
      <x:c r="AV50" s="13" t="str">
        <x:v>The review explicitly contrasts classical shared-information world models with deep predictive dynamics models.</x:v>
      </x:c>
      <x:c r="AW50" s="13" t="str">
        <x:v>A world model is treated as a component that consolidates information for multiple planners, sensors, and actors.</x:v>
      </x:c>
      <x:c r="AX50" s="13" t="str">
        <x:v>The review does not report a method-level planning horizon.</x:v>
      </x:c>
      <x:c r="AY50" s="13" t="str">
        <x:v>High</x:v>
      </x:c>
      <x:c r="AZ50" s="13" t="str">
        <x:v>Definition-sensitive survey: its broad software-architecture meaning includes non-predictive shared state, unlike the master dataset's strict method-level predictive-world-model rule.</x:v>
      </x:c>
      <x:c r="BA50" s="13" t="str">
        <x:v>Robotic world models—conceptualization, review, and engineering best practices.txt</x:v>
      </x:c>
    </x:row>
    <x:row r="51">
      <x:c r="A51" s="13" t="str">
        <x:v>batch_10</x:v>
      </x:c>
      <x:c r="B51" s="13" t="str">
        <x:v>B10-005</x:v>
      </x:c>
      <x:c r="C51" s="13" t="str">
        <x:v>Review of machine learning methods in soft robotics</x:v>
      </x:c>
      <x:c r="D51" s="13" t="str">
        <x:v>Daekyum Kim; Sang-Hun Kim; Taekyoung Kim; Brian Byunghyun Kang; Minhyuk Lee; Wookeun Park; Subyeong Ku; DongWook Kim; Junghan Kwon; Hochang Lee; Joonbum Bae; Yong-Lae Park; Kyu-Jin Cho; Sungho Jo</x:v>
      </x:c>
      <x:c r="E51" s="13" t="n">
        <x:v>2021</x:v>
      </x:c>
      <x:c r="F51" s="13" t="str">
        <x:v>Published 18 Feb 2021</x:v>
      </x:c>
      <x:c r="G51" s="13" t="str">
        <x:v>PLOS ONE</x:v>
      </x:c>
      <x:c r="H51" s="13" t="str">
        <x:v>Peer-reviewed review article</x:v>
      </x:c>
      <x:c r="I51" s="13" t="str">
        <x:v>Survey</x:v>
      </x:c>
      <x:c r="J51" s="13" t="str"/>
      <x:c r="K51" s="13" t="str">
        <x:v>10.1371/journal.pone.0246102</x:v>
      </x:c>
      <x:c r="L51" s="13" t="str">
        <x:v>Yes</x:v>
      </x:c>
      <x:c r="M51" s="13" t="str">
        <x:v>The review article is open access and its collected datasets are deposited in OSF under DOI 10.17605/OSF.IO/4MYV7.</x:v>
      </x:c>
      <x:c r="N51" s="13" t="str">
        <x:v>Soft Robotics; Soft Sensing; Soft Actuation; Manipulation; Wearables</x:v>
      </x:c>
      <x:c r="O51" s="13" t="str">
        <x:v>Survey; Machine Learning; Modeling and Control of Soft Robots</x:v>
      </x:c>
      <x:c r="P51" s="13" t="str">
        <x:v>N/A</x:v>
      </x:c>
      <x:c r="Q51" s="13" t="str">
        <x:v>N/A</x:v>
      </x:c>
      <x:c r="R51" s="13" t="str">
        <x:v>N/A — wearable and assistive interaction applications are reviewed</x:v>
      </x:c>
      <x:c r="S51" s="13" t="str">
        <x:v>N/A — the survey includes learned dynamics and model-based control but is not organized around world models</x:v>
      </x:c>
      <x:c r="T51" s="13" t="str">
        <x:v>N/A</x:v>
      </x:c>
      <x:c r="U51" s="13" t="str">
        <x:v>Reviews supervised, unsupervised, and reinforcement-learning approaches for nonlinear sensing, state estimation, dynamics modeling, and control.</x:v>
      </x:c>
      <x:c r="V51" s="13" t="str">
        <x:v>N/A</x:v>
      </x:c>
      <x:c r="W51" s="13" t="str">
        <x:v>N/A</x:v>
      </x:c>
      <x:c r="X51" s="13" t="str">
        <x:v>N/A</x:v>
      </x:c>
      <x:c r="Y51" s="13" t="str">
        <x:v>N/A</x:v>
      </x:c>
      <x:c r="Z51" s="13" t="str">
        <x:v>N/A — motion planning and model-based control are among many reviewed applications</x:v>
      </x:c>
      <x:c r="AA51" s="13" t="str">
        <x:v>N/A</x:v>
      </x:c>
      <x:c r="AB51" s="13" t="str">
        <x:v>N/A</x:v>
      </x:c>
      <x:c r="AC51" s="13" t="str">
        <x:v>N/A</x:v>
      </x:c>
      <x:c r="AD51" s="13" t="str">
        <x:v>No single planning system or normalized horizon is evaluated.</x:v>
      </x:c>
      <x:c r="AE51" s="13" t="str">
        <x:v>N/A</x:v>
      </x:c>
      <x:c r="AF51" s="13" t="str">
        <x:v>N/A</x:v>
      </x:c>
      <x:c r="AG51" s="13" t="str">
        <x:v>N/A</x:v>
      </x:c>
      <x:c r="AH51" s="13" t="str">
        <x:v>N/A</x:v>
      </x:c>
      <x:c r="AI51" s="13" t="str">
        <x:v>N/A</x:v>
      </x:c>
      <x:c r="AJ51" s="13" t="str">
        <x:v>N/A</x:v>
      </x:c>
      <x:c r="AK51" s="13" t="str">
        <x:v>Soft pressure, strain, tactile arrays, vision, proprioception, and wearable sensing</x:v>
      </x:c>
      <x:c r="AL51" s="13" t="str">
        <x:v>Multiple sensing, calibration, pose-estimation, grasping, and control objectives</x:v>
      </x:c>
      <x:c r="AM51" s="13" t="str">
        <x:v>Multiple soft-actuator and manipulator control spaces</x:v>
      </x:c>
      <x:c r="AN51" s="13" t="str">
        <x:v>Multiple soft sensors, pneumatic and cable-driven actuators, grippers, manipulators, and wearable systems</x:v>
      </x:c>
      <x:c r="AO51" s="13" t="str">
        <x:v>Multiple soft robotic platforms</x:v>
      </x:c>
      <x:c r="AP51" s="13" t="str">
        <x:v>Both / Survey</x:v>
      </x:c>
      <x:c r="AQ51" s="13" t="str">
        <x:v>Both / Survey</x:v>
      </x:c>
      <x:c r="AR51" s="13" t="str">
        <x:v>Categorizes machine-learning methods across soft sensors, actuators, grippers, manipulators, and wearable systems and analyzes algorithmic trends.</x:v>
      </x:c>
      <x:c r="AS51" s="13" t="str">
        <x:v>Cross-indexes learning algorithms by soft-robot hardware type and task, separating sensing, dynamics modeling, model-based control, and model-free control.</x:v>
      </x:c>
      <x:c r="AT51" s="13" t="str">
        <x:v>The field requires large datasets and faces unexpected error sources, nonlinear and time-varying material behavior, limited real-time computation, and relatively little unsupervised learning.</x:v>
      </x:c>
      <x:c r="AU51" s="13" t="str">
        <x:v>Develop efficient embedded and real-time learning, better transfer and generalization, multimodal soft sensing, robust lifetime and degradation prediction, and richer simulation-to-hardware validation.</x:v>
      </x:c>
      <x:c r="AV51" s="13" t="str">
        <x:v>Some reviewed studies learn soft-body dynamics, but the article does not propose a unified predictive world model.</x:v>
      </x:c>
      <x:c r="AW51" s="13" t="str">
        <x:v>Motion planning and reinforcement learning are reviewed as applications within a much broader soft-robot learning taxonomy.</x:v>
      </x:c>
      <x:c r="AX51" s="13" t="str">
        <x:v>No paper-level planning horizon is defined.</x:v>
      </x:c>
      <x:c r="AY51" s="13" t="str">
        <x:v>High</x:v>
      </x:c>
      <x:c r="AZ51" s="13" t="str">
        <x:v>Peripheral to the core world-model and long-horizon manipulation corpus; retain for deformable and soft-robot context.</x:v>
      </x:c>
      <x:c r="BA51" s="13" t="str">
        <x:v>Review of machine learning methods in soft robotics.txt</x:v>
      </x:c>
    </x:row>
    <x:row r="52">
      <x:c r="A52" s="13" t="str">
        <x:v>batch_11</x:v>
      </x:c>
      <x:c r="B52" s="13" t="str">
        <x:v>B11-001</x:v>
      </x:c>
      <x:c r="C52" s="13" t="str">
        <x:v>VLA-JEPA: Enhancing Vision-Language-Action Model with Latent World Model</x:v>
      </x:c>
      <x:c r="D52" s="13" t="str">
        <x:v>Jingwen Sun; Wenyao Zhang; Zekun Qi; Shaojie Ren; Zezhi Liu; Hanxin Zhu; Guangzhong Sun; Xin Jin; Zhibo Chen</x:v>
      </x:c>
      <x:c r="E52" s="13" t="n">
        <x:v>2026</x:v>
      </x:c>
      <x:c r="F52" s="13" t="str">
        <x:v>First public appearance: arXiv:2602.10098 in Feb 2026; supplied version dated 17 Feb 2026</x:v>
      </x:c>
      <x:c r="G52" s="13" t="str">
        <x:v>arXiv</x:v>
      </x:c>
      <x:c r="H52" s="13" t="str">
        <x:v>Preprint</x:v>
      </x:c>
      <x:c r="I52" s="13" t="str">
        <x:v>Method</x:v>
      </x:c>
      <x:c r="J52" s="13" t="str"/>
      <x:c r="K52" s="13" t="str">
        <x:v>arXiv:2602.10098</x:v>
      </x:c>
      <x:c r="L52" s="13" t="str">
        <x:v>Yes</x:v>
      </x:c>
      <x:c r="M52" s="13" t="str">
        <x:v>Code, project page, and Hugging Face models are publicly released.</x:v>
      </x:c>
      <x:c r="N52" s="13" t="str">
        <x:v>Manipulation; Vision-Language-Action Control</x:v>
      </x:c>
      <x:c r="O52" s="13" t="str">
        <x:v>World Modeling; Policy Learning; Human-Video Pretraining; Generalization</x:v>
      </x:c>
      <x:c r="P52" s="13" t="str">
        <x:v>Yes</x:v>
      </x:c>
      <x:c r="Q52" s="13" t="str">
        <x:v>Yes</x:v>
      </x:c>
      <x:c r="R52" s="13" t="str">
        <x:v>No</x:v>
      </x:c>
      <x:c r="S52" s="13" t="str">
        <x:v>Yes</x:v>
      </x:c>
      <x:c r="T52" s="13" t="str">
        <x:v>JEPA</x:v>
      </x:c>
      <x:c r="U52" s="13" t="str">
        <x:v>A frozen V-JEPA 2 world-state encoder and causal transformer predictor learn leakage-free latent state transitions conditioned on learned latent-action tokens; a flow-matching head generates robot actions.</x:v>
      </x:c>
      <x:c r="V52" s="13" t="str">
        <x:v>Latent</x:v>
      </x:c>
      <x:c r="W52" s="13" t="str">
        <x:v>Future multi-view latent world-state chunks</x:v>
      </x:c>
      <x:c r="X52" s="13" t="str">
        <x:v>Yes — conditioned on learned latent-action tokens rather than explicit low-level actions during human-video pretraining</x:v>
      </x:c>
      <x:c r="Y52" s="13" t="str">
        <x:v>No — future states are predicted in V-JEPA latent space</x:v>
      </x:c>
      <x:c r="Z52" s="13" t="str">
        <x:v>No</x:v>
      </x:c>
      <x:c r="AA52" s="13" t="str">
        <x:v>None — latent dynamics supervise a direct VLA action policy</x:v>
      </x:c>
      <x:c r="AB52" s="13" t="str">
        <x:v>N/A</x:v>
      </x:c>
      <x:c r="AC52" s="13" t="str">
        <x:v>None</x:v>
      </x:c>
      <x:c r="AD52" s="13" t="str">
        <x:v>The model predicts an action chunk and latent future-state sequence; it does not search over candidate action sequences. LIBERO includes long-horizon evaluations.</x:v>
      </x:c>
      <x:c r="AE52" s="13" t="str">
        <x:v>No</x:v>
      </x:c>
      <x:c r="AF52" s="13" t="str">
        <x:v>Yes — action trajectories are regenerated from current observations during closed-loop execution</x:v>
      </x:c>
      <x:c r="AG52" s="13" t="str">
        <x:v>Local Controller</x:v>
      </x:c>
      <x:c r="AH52" s="13" t="str">
        <x:v>Self-Supervised Video Pretraining; Imitation Learning; Flow Matching</x:v>
      </x:c>
      <x:c r="AI52" s="13" t="str">
        <x:v>VLA with JEPA Latent World Model and Flow-Matching Action Head</x:v>
      </x:c>
      <x:c r="AJ52" s="13" t="str">
        <x:v>Yes — Qwen3-VL, V-JEPA 2, Something-Something-v2 human video, and DROID robot demonstrations</x:v>
      </x:c>
      <x:c r="AK52" s="13" t="str">
        <x:v>Language; multi-view RGB video; robot demonstration trajectories</x:v>
      </x:c>
      <x:c r="AL52" s="13" t="str">
        <x:v>Natural-language instruction</x:v>
      </x:c>
      <x:c r="AM52" s="13" t="str">
        <x:v>Continuous action trajectories generated by conditional flow matching</x:v>
      </x:c>
      <x:c r="AN52" s="13" t="str">
        <x:v>LIBERO; LIBERO-Plus; SimplerEnv; three custom real-world tasks</x:v>
      </x:c>
      <x:c r="AO52" s="13" t="str">
        <x:v>Franka Emika Panda; Google Robot; WidowX</x:v>
      </x:c>
      <x:c r="AP52" s="13" t="str">
        <x:v>Yes</x:v>
      </x:c>
      <x:c r="AQ52" s="13" t="str">
        <x:v>Yes</x:v>
      </x:c>
      <x:c r="AR52" s="13" t="str">
        <x:v>Introduces leakage-free JEPA pretraining that learns action-relevant latent transition semantics from action-free human video and robot demonstrations.</x:v>
      </x:c>
      <x:c r="AS52" s="13" t="str">
        <x:v>Future frames are used only as latent supervision targets, avoiding pixel shortcuts and future-information leakage while reducing prior latent-action pipelines to two stages.</x:v>
      </x:c>
      <x:c r="AT52" s="13" t="str">
        <x:v>Training uses substantial compute, the real-world evaluation contains only three tasks and 100 demonstrations, performance is sensitive to prediction horizon, and the model provides no explicit planning or counterfactual action search.</x:v>
      </x:c>
      <x:c r="AU52" s="13" t="str">
        <x:v>Scale human-video pretraining with more robot data and text-based reasoning signals and improve robustness and generalization.</x:v>
      </x:c>
      <x:c r="AV52" s="13" t="str">
        <x:v>A causal transformer predicts future V-JEPA world-state embeddings from past states and learned latent-action tokens.</x:v>
      </x:c>
      <x:c r="AW52" s="13" t="str">
        <x:v>The predicted latent dynamics condition a flow-matching action head; no MPC, search, or candidate-rollout scoring is used.</x:v>
      </x:c>
      <x:c r="AX52" s="13" t="str">
        <x:v>LIBERO long-horizon tasks are evaluated, but the method remains a closed-loop chunked policy with planning_horizon=None.</x:v>
      </x:c>
      <x:c r="AY52" s="13" t="str">
        <x:v>High</x:v>
      </x:c>
      <x:c r="AZ52" s="13" t="str">
        <x:v>Core JEPA/VLA world-model paper. Count as a strict latent world model but exclude from explicit-planner counts.</x:v>
      </x:c>
      <x:c r="BA52" s="13" t="str">
        <x:v>VLA-JEPA_ Enhancing Vision-Language-Action Model with Latent World Model.txt</x:v>
      </x:c>
    </x:row>
    <x:row r="53">
      <x:c r="A53" s="13" t="str">
        <x:v>batch_11</x:v>
      </x:c>
      <x:c r="B53" s="13" t="str">
        <x:v>B11-002</x:v>
      </x:c>
      <x:c r="C53" s="13" t="str">
        <x:v>Unfolding the Literature: A Review of Robotic Cloth Manipulation</x:v>
      </x:c>
      <x:c r="D53" s="13" t="str">
        <x:v>Alberta Longhini; Yufei Wang; Irene Garcia-Camacho; David Blanco-Mulero; Marco Moletta; Michael Welle; Guillem Alenyà; Hang Yin; Zackory Erickson; David Held; Júlia Borràs; Danica Kragic</x:v>
      </x:c>
      <x:c r="E53" s="13" t="n">
        <x:v>2024</x:v>
      </x:c>
      <x:c r="F53" s="13" t="str">
        <x:v>First published as a Review in Advance on 2 Dec 2024; journal volume year is 2025</x:v>
      </x:c>
      <x:c r="G53" s="13" t="str">
        <x:v>Annual Review of Control, Robotics, and Autonomous Systems</x:v>
      </x:c>
      <x:c r="H53" s="13" t="str">
        <x:v>Peer-reviewed review article</x:v>
      </x:c>
      <x:c r="I53" s="13" t="str">
        <x:v>Survey</x:v>
      </x:c>
      <x:c r="J53" s="13" t="str"/>
      <x:c r="K53" s="13" t="str">
        <x:v>10.1146/annurev-control-022723-033252</x:v>
      </x:c>
      <x:c r="L53" s="13" t="str">
        <x:v>Unknown</x:v>
      </x:c>
      <x:c r="M53" s="13" t="str">
        <x:v>The article is open access under CC BY 4.0, but no companion code repository is identified.</x:v>
      </x:c>
      <x:c r="N53" s="13" t="str">
        <x:v>Cloth Manipulation; Deformable Objects; Assistive and Industrial Robotics</x:v>
      </x:c>
      <x:c r="O53" s="13" t="str">
        <x:v>Survey; Generalization; Modeling; Perception; Manipulation; Benchmarking</x:v>
      </x:c>
      <x:c r="P53" s="13" t="str">
        <x:v>N/A — long-horizon adaptive textile manipulation is identified as a grand challenge</x:v>
      </x:c>
      <x:c r="Q53" s="13" t="str">
        <x:v>N/A</x:v>
      </x:c>
      <x:c r="R53" s="13" t="str">
        <x:v>N/A — assistive dressing and healthcare applications are reviewed</x:v>
      </x:c>
      <x:c r="S53" s="13" t="str">
        <x:v>N/A — analytical and learned textile dynamics models are reviewed</x:v>
      </x:c>
      <x:c r="T53" s="13" t="str">
        <x:v>N/A — multiple analytical, graph, neural, and simulation-based models</x:v>
      </x:c>
      <x:c r="U53" s="13" t="str">
        <x:v>Reviews textile dynamics modeling, perception, manipulation strategies, datasets, and benchmarks with emphasis on variation in physical and mechanical properties.</x:v>
      </x:c>
      <x:c r="V53" s="13" t="str">
        <x:v>N/A</x:v>
      </x:c>
      <x:c r="W53" s="13" t="str">
        <x:v>N/A</x:v>
      </x:c>
      <x:c r="X53" s="13" t="str">
        <x:v>N/A</x:v>
      </x:c>
      <x:c r="Y53" s="13" t="str">
        <x:v>N/A</x:v>
      </x:c>
      <x:c r="Z53" s="13" t="str">
        <x:v>N/A — planning and control methods are reviewed</x:v>
      </x:c>
      <x:c r="AA53" s="13" t="str">
        <x:v>N/A</x:v>
      </x:c>
      <x:c r="AB53" s="13" t="str">
        <x:v>Multiple: particles, meshes, keypoints, latent states, and visual/tactile representations</x:v>
      </x:c>
      <x:c r="AC53" s="13" t="str">
        <x:v>N/A</x:v>
      </x:c>
      <x:c r="AD53" s="13" t="str">
        <x:v>The review covers individual and sequential cloth tasks but proposes no normalized planner.</x:v>
      </x:c>
      <x:c r="AE53" s="13" t="str">
        <x:v>N/A</x:v>
      </x:c>
      <x:c r="AF53" s="13" t="str">
        <x:v>N/A</x:v>
      </x:c>
      <x:c r="AG53" s="13" t="str">
        <x:v>N/A</x:v>
      </x:c>
      <x:c r="AH53" s="13" t="str">
        <x:v>N/A</x:v>
      </x:c>
      <x:c r="AI53" s="13" t="str">
        <x:v>N/A</x:v>
      </x:c>
      <x:c r="AJ53" s="13" t="str">
        <x:v>N/A</x:v>
      </x:c>
      <x:c r="AK53" s="13" t="str">
        <x:v>Vision; depth; tactile; force; audio; multimodal textile sensing</x:v>
      </x:c>
      <x:c r="AL53" s="13" t="str">
        <x:v>Multiple cloth configurations and application-specific objectives</x:v>
      </x:c>
      <x:c r="AM53" s="13" t="str">
        <x:v>Multiple: grasping, pick-and-place, dynamic manipulation, dressing, folding, and industrial operations</x:v>
      </x:c>
      <x:c r="AN53" s="13" t="str">
        <x:v>Multiple cloth datasets, standardized textile sets, simulators, and manipulation benchmarks</x:v>
      </x:c>
      <x:c r="AO53" s="13" t="str">
        <x:v>Multiple</x:v>
      </x:c>
      <x:c r="AP53" s="13" t="str">
        <x:v>Both / Survey</x:v>
      </x:c>
      <x:c r="AQ53" s="13" t="str">
        <x:v>Both / Survey</x:v>
      </x:c>
      <x:c r="AR53" s="13" t="str">
        <x:v>Reviews robotic textile manipulation through the lens of generalization and adaptation to variations in object properties and tasks.</x:v>
      </x:c>
      <x:c r="AS53" s="13" t="str">
        <x:v>Connects textile physical and mechanical properties to modeling, perception, manipulation, datasets, and benchmarking rather than organizing only by task.</x:v>
      </x:c>
      <x:c r="AT53" s="13" t="str">
        <x:v>The field has limited generalization across textiles, few online adaptation methods, underexplored multimodal sensing and diffusion policies, and weak standardization of datasets and benchmarks.</x:v>
      </x:c>
      <x:c r="AU53" s="13" t="str">
        <x:v>Develop property-aware perception, adaptive multitask multimodal agents for long-horizon tasks, and standardized datasets and benchmarks capturing real-world textile variation.</x:v>
      </x:c>
      <x:c r="AV53" s="13" t="str">
        <x:v>The review covers analytical and learned cloth dynamics models but contributes no single predictive world model.</x:v>
      </x:c>
      <x:c r="AW53" s="13" t="str">
        <x:v>Planning and control approaches are surveyed as part of a broader modeling-perception-manipulation pipeline.</x:v>
      </x:c>
      <x:c r="AX53" s="13" t="str">
        <x:v>Long-horizon textile autonomy is proposed as a future grand challenge rather than evaluated by one method.</x:v>
      </x:c>
      <x:c r="AY53" s="13" t="str">
        <x:v>High</x:v>
      </x:c>
      <x:c r="AZ53" s="13" t="str">
        <x:v>Supporting deformable-manipulation survey; retain for cloth, generalization, and benchmark-gap analyses but exclude from method counts.</x:v>
      </x:c>
      <x:c r="BA53" s="13" t="str">
        <x:v>Unfolding the Literature_A Review of Robotic Cloth Manipulation.txt</x:v>
      </x:c>
    </x:row>
    <x:row r="54">
      <x:c r="A54" s="13" t="str">
        <x:v>batch_11</x:v>
      </x:c>
      <x:c r="B54" s="13" t="str">
        <x:v>B11-003</x:v>
      </x:c>
      <x:c r="C54" s="13" t="str">
        <x:v>Understanding World or Predicting Future? A Comprehensive Survey of World Models</x:v>
      </x:c>
      <x:c r="D54" s="13" t="str">
        <x:v>Jingtao Ding; Yunke Zhang; Yu Shang; Jie Feng; Yuheng Zhang; Zefang Zong; Yuan Yuan; Hongyuan Su; Nian Li; Jinghua Piao; Yucheng Deng; Nicholas Sukiennik; Chen Gao; Fengli Xu; Yong Li</x:v>
      </x:c>
      <x:c r="E54" s="13" t="n">
        <x:v>2024</x:v>
      </x:c>
      <x:c r="F54" s="13" t="str">
        <x:v>First public appearance: arXiv:2411.14499 in Nov 2024; supplied revision v4 dated 10 Dec 2025</x:v>
      </x:c>
      <x:c r="G54" s="13" t="str">
        <x:v>ACM Computing Surveys / arXiv</x:v>
      </x:c>
      <x:c r="H54" s="13" t="str">
        <x:v>Survey manuscript / revised preprint</x:v>
      </x:c>
      <x:c r="I54" s="13" t="str">
        <x:v>Survey</x:v>
      </x:c>
      <x:c r="J54" s="13" t="str"/>
      <x:c r="K54" s="13" t="str">
        <x:v>arXiv:2411.14499</x:v>
      </x:c>
      <x:c r="L54" s="13" t="str">
        <x:v>Yes</x:v>
      </x:c>
      <x:c r="M54" s="13" t="str">
        <x:v>The authors maintain a public World-Model repository containing representative papers and code links.</x:v>
      </x:c>
      <x:c r="N54" s="13" t="str">
        <x:v>General AI; Robotics; Autonomous Driving; Games; Social Simulation</x:v>
      </x:c>
      <x:c r="O54" s="13" t="str">
        <x:v>Survey; World-Model Taxonomy; Representation; Future Prediction</x:v>
      </x:c>
      <x:c r="P54" s="13" t="str">
        <x:v>N/A — long-term prediction and decision making are reviewed</x:v>
      </x:c>
      <x:c r="Q54" s="13" t="str">
        <x:v>N/A — LLM and multimodal world models are reviewed</x:v>
      </x:c>
      <x:c r="R54" s="13" t="str">
        <x:v>N/A</x:v>
      </x:c>
      <x:c r="S54" s="13" t="str">
        <x:v>N/A — the paper reviews multiple definitions and families</x:v>
      </x:c>
      <x:c r="T54" s="13" t="str">
        <x:v>N/A — model-based RL, JEPA, video generation, LLM, and interactive 3D models</x:v>
      </x:c>
      <x:c r="U54" s="13" t="str">
        <x:v>Categorizes world models into implicit representations that understand mechanisms and predictive models that simulate future world evolution.</x:v>
      </x:c>
      <x:c r="V54" s="13" t="str">
        <x:v>N/A</x:v>
      </x:c>
      <x:c r="W54" s="13" t="str">
        <x:v>N/A</x:v>
      </x:c>
      <x:c r="X54" s="13" t="str">
        <x:v>N/A</x:v>
      </x:c>
      <x:c r="Y54" s="13" t="str">
        <x:v>N/A</x:v>
      </x:c>
      <x:c r="Z54" s="13" t="str">
        <x:v>N/A — decision-making and planning applications are reviewed</x:v>
      </x:c>
      <x:c r="AA54" s="13" t="str">
        <x:v>N/A</x:v>
      </x:c>
      <x:c r="AB54" s="13" t="str">
        <x:v>Multiple: latent state, language knowledge, pixels/video, 3D environments, and social states</x:v>
      </x:c>
      <x:c r="AC54" s="13" t="str">
        <x:v>N/A</x:v>
      </x:c>
      <x:c r="AD54" s="13" t="str">
        <x:v>The survey discusses long-term consistency and planning but does not implement one planner.</x:v>
      </x:c>
      <x:c r="AE54" s="13" t="str">
        <x:v>N/A</x:v>
      </x:c>
      <x:c r="AF54" s="13" t="str">
        <x:v>N/A</x:v>
      </x:c>
      <x:c r="AG54" s="13" t="str">
        <x:v>N/A</x:v>
      </x:c>
      <x:c r="AH54" s="13" t="str">
        <x:v>N/A</x:v>
      </x:c>
      <x:c r="AI54" s="13" t="str">
        <x:v>N/A</x:v>
      </x:c>
      <x:c r="AJ54" s="13" t="str">
        <x:v>N/A</x:v>
      </x:c>
      <x:c r="AK54" s="13" t="str">
        <x:v>Multiple: text; image; video; 3D; driving sensors; agent observations</x:v>
      </x:c>
      <x:c r="AL54" s="13" t="str">
        <x:v>Multiple</x:v>
      </x:c>
      <x:c r="AM54" s="13" t="str">
        <x:v>Multiple</x:v>
      </x:c>
      <x:c r="AN54" s="13" t="str">
        <x:v>Multiple benchmarks across games, autonomous driving, robotics, embodied environments, and social simulacra</x:v>
      </x:c>
      <x:c r="AO54" s="13" t="str">
        <x:v>Multiple</x:v>
      </x:c>
      <x:c r="AP54" s="13" t="str">
        <x:v>Both / Survey</x:v>
      </x:c>
      <x:c r="AQ54" s="13" t="str">
        <x:v>Both / Survey</x:v>
      </x:c>
      <x:c r="AR54" s="13" t="str">
        <x:v>Provides a comprehensive taxonomy separating world understanding through implicit representation from future prediction through simulation.</x:v>
      </x:c>
      <x:c r="AS54" s="13" t="str">
        <x:v>Unifies model-based RL, JEPA, LLM world knowledge, video generation, interactive environments, and domain applications under two core functions.</x:v>
      </x:c>
      <x:c r="AT54" s="13" t="str">
        <x:v>World models still struggle with causal and counterfactual reasoning, physical consistency, action controllability, long-term coherence, evaluation, scalability, safety, and accountability.</x:v>
      </x:c>
      <x:c r="AU54" s="13" t="str">
        <x:v>Develop interactive and physically grounded multimodal world models, stronger long-horizon consistency and controllability, better evaluation, and safeguards for responsible use.</x:v>
      </x:c>
      <x:c r="AV54" s="13" t="str">
        <x:v>The survey explicitly distinguishes internal world representations from models that forecast future external states.</x:v>
      </x:c>
      <x:c r="AW54" s="13" t="str">
        <x:v>Planning and decision making are treated as downstream consumers of representation and prediction capabilities.</x:v>
      </x:c>
      <x:c r="AX54" s="13" t="str">
        <x:v>Long-horizon prediction is a field-level challenge rather than a paper-specific planning horizon.</x:v>
      </x:c>
      <x:c r="AY54" s="13" t="str">
        <x:v>High</x:v>
      </x:c>
      <x:c r="AZ54" s="13" t="str">
        <x:v>Exclude from method counts; retain for taxonomy comparison, definitions, and broad research-gap analysis.</x:v>
      </x:c>
      <x:c r="BA54" s="13" t="str">
        <x:v>Understanding World or Predicting Future_ A Comprehensive Survey of World Models.txt</x:v>
      </x:c>
    </x:row>
    <x:row r="55">
      <x:c r="A55" s="13" t="str">
        <x:v>batch_11</x:v>
      </x:c>
      <x:c r="B55" s="13" t="str">
        <x:v>B11-004</x:v>
      </x:c>
      <x:c r="C55" s="13" t="str">
        <x:v>Surfer: Progressive Reasoning with World Models for Robotic Manipulation</x:v>
      </x:c>
      <x:c r="D55" s="13" t="str">
        <x:v>Pengzhen Ren; Kaidong Zhang; Zixuan Li; Hetao Zheng; Yuhang Wen; Fengda Zhu; Mas Ma; Xiaodan Liang</x:v>
      </x:c>
      <x:c r="E55" s="13" t="n">
        <x:v>2023</x:v>
      </x:c>
      <x:c r="F55" s="13" t="str">
        <x:v>First public appearance: arXiv:2306.11335 in Jun 2023; supplied revision v4 dated 20 Mar 2024</x:v>
      </x:c>
      <x:c r="G55" s="13" t="str">
        <x:v>arXiv</x:v>
      </x:c>
      <x:c r="H55" s="13" t="str">
        <x:v>Preprint</x:v>
      </x:c>
      <x:c r="I55" s="13" t="str">
        <x:v>Method</x:v>
      </x:c>
      <x:c r="J55" s="13" t="str"/>
      <x:c r="K55" s="13" t="str">
        <x:v>arXiv:2306.11335</x:v>
      </x:c>
      <x:c r="L55" s="13" t="str">
        <x:v>Unknown</x:v>
      </x:c>
      <x:c r="M55" s="13" t="str">
        <x:v>No public code repository was identified in the supplied manuscript.</x:v>
      </x:c>
      <x:c r="N55" s="13" t="str">
        <x:v>Language-Guided Manipulation; Embodied AI</x:v>
      </x:c>
      <x:c r="O55" s="13" t="str">
        <x:v>World Modeling; Policy Learning; Multimodal Reasoning; Benchmarking</x:v>
      </x:c>
      <x:c r="P55" s="13" t="str">
        <x:v>No</x:v>
      </x:c>
      <x:c r="Q55" s="13" t="str">
        <x:v>Yes</x:v>
      </x:c>
      <x:c r="R55" s="13" t="str">
        <x:v>No</x:v>
      </x:c>
      <x:c r="S55" s="13" t="str">
        <x:v>Yes</x:v>
      </x:c>
      <x:c r="T55" s="13" t="str">
        <x:v>Transformer</x:v>
      </x:c>
      <x:c r="U55" s="13" t="str">
        <x:v>Transformer action and scene heads jointly predict the next robot action and the latent feature of the next visual frame from image history, robot state, language, and predicted action.</x:v>
      </x:c>
      <x:c r="V55" s="13" t="str">
        <x:v>Latent / Observation</x:v>
      </x:c>
      <x:c r="W55" s="13" t="str">
        <x:v>Next action and next-frame visual feature</x:v>
      </x:c>
      <x:c r="X55" s="13" t="str">
        <x:v>Yes — the scene predictor is conditioned on the predicted robot action</x:v>
      </x:c>
      <x:c r="Y55" s="13" t="str">
        <x:v>No — predicts a single next-frame feature rather than a video rollout</x:v>
      </x:c>
      <x:c r="Z55" s="13" t="str">
        <x:v>No</x:v>
      </x:c>
      <x:c r="AA55" s="13" t="str">
        <x:v>None — direct action prediction with auxiliary next-scene supervision</x:v>
      </x:c>
      <x:c r="AB55" s="13" t="str">
        <x:v>N/A</x:v>
      </x:c>
      <x:c r="AC55" s="13" t="str">
        <x:v>None</x:v>
      </x:c>
      <x:c r="AD55" s="13" t="str">
        <x:v>SeaWave's four levels increase linguistic and visual reasoning difficulty rather than temporal task length.</x:v>
      </x:c>
      <x:c r="AE55" s="13" t="str">
        <x:v>No</x:v>
      </x:c>
      <x:c r="AF55" s="13" t="str">
        <x:v>Yes — the next action is regenerated from recent image and state history</x:v>
      </x:c>
      <x:c r="AG55" s="13" t="str">
        <x:v>Local Controller</x:v>
      </x:c>
      <x:c r="AH55" s="13" t="str">
        <x:v>Imitation Learning; Auxiliary Latent Scene Prediction</x:v>
      </x:c>
      <x:c r="AI55" s="13" t="str">
        <x:v>Language-Conditioned Transformer Manipulation Policy</x:v>
      </x:c>
      <x:c r="AJ55" s="13" t="str">
        <x:v>Yes — pretrained CLIP vision and text encoders</x:v>
      </x:c>
      <x:c r="AK55" s="13" t="str">
        <x:v>RGB history; robot state; natural-language instruction</x:v>
      </x:c>
      <x:c r="AL55" s="13" t="str">
        <x:v>Natural-language instruction</x:v>
      </x:c>
      <x:c r="AM55" s="13" t="str">
        <x:v>Continuous 7D end-effector and gripper delta action</x:v>
      </x:c>
      <x:c r="AN55" s="13" t="str">
        <x:v>SeaWave: eight skills, 139 object categories, four progressive-reasoning levels, and 3.4K instructions</x:v>
      </x:c>
      <x:c r="AO55" s="13" t="str">
        <x:v>MuJoCo simulated single-arm manipulator</x:v>
      </x:c>
      <x:c r="AP55" s="13" t="str">
        <x:v>Yes</x:v>
      </x:c>
      <x:c r="AQ55" s="13" t="str">
        <x:v>No</x:v>
      </x:c>
      <x:c r="AR55" s="13" t="str">
        <x:v>Jointly models action execution and resulting visual-scene change to improve language-grounded manipulation generalization.</x:v>
      </x:c>
      <x:c r="AS55" s="13" t="str">
        <x:v>Introduces the physically executed SeaWave benchmark with automated scene, instruction, and demonstration generation alongside the action-and-scene predictive model.</x:v>
      </x:c>
      <x:c r="AT55" s="13" t="str">
        <x:v>Evaluation is simulation-only, uses a single arm and rigid objects, and lacks force sensing and deformable-object manipulation.</x:v>
      </x:c>
      <x:c r="AU55" s="13" t="str">
        <x:v>Extend to dual-arm manipulation, soft objects, force sensing, and richer multimodal inputs.</x:v>
      </x:c>
      <x:c r="AV55" s="13" t="str">
        <x:v>The scene head predicts the next latent visual state conditioned on image history and the predicted action.</x:v>
      </x:c>
      <x:c r="AW55" s="13" t="str">
        <x:v>The world-model loss regularizes a direct action predictor; there is no search, model rollout, or candidate-plan scoring.</x:v>
      </x:c>
      <x:c r="AX55" s="13" t="str">
        <x:v>The benchmark tests progressively harder instructions for individual skills, not multi-stage long-horizon manipulation.</x:v>
      </x:c>
      <x:c r="AY55" s="13" t="str">
        <x:v>High</x:v>
      </x:c>
      <x:c r="AZ55" s="13" t="str">
        <x:v>Strict one-step latent world model, but exclude from explicit-planner counts and do not treat SeaWave reasoning levels as temporal horizon.</x:v>
      </x:c>
      <x:c r="BA55" s="13" t="str">
        <x:v>Surfer_ Progressive Reasoning with World Models for Robotic Manipulation.txt</x:v>
      </x:c>
    </x:row>
    <x:row r="56">
      <x:c r="A56" s="13" t="str">
        <x:v>batch_11</x:v>
      </x:c>
      <x:c r="B56" s="13" t="str">
        <x:v>B11-005</x:v>
      </x:c>
      <x:c r="C56" s="13" t="str">
        <x:v>Subspace-Decomposed JEPAs: Disentangling Progression and Content in Latent World Models</x:v>
      </x:c>
      <x:c r="D56" s="13" t="str">
        <x:v>Lucas Thil; Jesse Read; Rim Kaddah; Guillaume Doquet</x:v>
      </x:c>
      <x:c r="E56" s="13" t="n">
        <x:v>2026</x:v>
      </x:c>
      <x:c r="F56" s="13" t="str">
        <x:v>First public appearance: arXiv:2605.31111 on 29 May 2026</x:v>
      </x:c>
      <x:c r="G56" s="13" t="str">
        <x:v>arXiv</x:v>
      </x:c>
      <x:c r="H56" s="13" t="str">
        <x:v>Preprint</x:v>
      </x:c>
      <x:c r="I56" s="13" t="str">
        <x:v>Method</x:v>
      </x:c>
      <x:c r="J56" s="13" t="str"/>
      <x:c r="K56" s="13" t="str">
        <x:v>arXiv:2605.31111</x:v>
      </x:c>
      <x:c r="L56" s="13" t="str">
        <x:v>Yes</x:v>
      </x:c>
      <x:c r="M56" s="13" t="str">
        <x:v>Code is publicly released at the SD-JEPA repository.</x:v>
      </x:c>
      <x:c r="N56" s="13" t="str">
        <x:v>General Control; Manipulation; Navigation; Representation Learning</x:v>
      </x:c>
      <x:c r="O56" s="13" t="str">
        <x:v>World Modeling; Planning; Interpretable Latent Representation</x:v>
      </x:c>
      <x:c r="P56" s="13" t="str">
        <x:v>No</x:v>
      </x:c>
      <x:c r="Q56" s="13" t="str">
        <x:v>No</x:v>
      </x:c>
      <x:c r="R56" s="13" t="str">
        <x:v>No</x:v>
      </x:c>
      <x:c r="S56" s="13" t="str">
        <x:v>Yes</x:v>
      </x:c>
      <x:c r="T56" s="13" t="str">
        <x:v>JEPA</x:v>
      </x:c>
      <x:c r="U56" s="13" t="str">
        <x:v>Extends LEWM by splitting its learned latent into orthogonal progression and content subspaces, with temporal triplet ordering on progression and SIGReg anti-collapse on content.</x:v>
      </x:c>
      <x:c r="V56" s="13" t="str">
        <x:v>Latent</x:v>
      </x:c>
      <x:c r="W56" s="13" t="str">
        <x:v>Next latent state</x:v>
      </x:c>
      <x:c r="X56" s="13" t="str">
        <x:v>Yes</x:v>
      </x:c>
      <x:c r="Y56" s="13" t="str">
        <x:v>No</x:v>
      </x:c>
      <x:c r="Z56" s="13" t="str">
        <x:v>Yes</x:v>
      </x:c>
      <x:c r="AA56" s="13" t="str">
        <x:v>MPC; Cross-Entropy Method</x:v>
      </x:c>
      <x:c r="AB56" s="13" t="str">
        <x:v>Decomposed JEPA latent with content and progression costs</x:v>
      </x:c>
      <x:c r="AC56" s="13" t="str">
        <x:v>Medium</x:v>
      </x:c>
      <x:c r="AD56" s="13" t="str">
        <x:v>CEM plans five frame-skipped actions with frame-skip five, corresponding to 25 environment steps, and replans throughout a 50-step evaluation.</x:v>
      </x:c>
      <x:c r="AE56" s="13" t="str">
        <x:v>No</x:v>
      </x:c>
      <x:c r="AF56" s="13" t="str">
        <x:v>Yes</x:v>
      </x:c>
      <x:c r="AG56" s="13" t="str">
        <x:v>Full End-to-End Planner</x:v>
      </x:c>
      <x:c r="AH56" s="13" t="str">
        <x:v>Self-Supervised Latent World-Model Learning; Temporal Contrastive Learning</x:v>
      </x:c>
      <x:c r="AI56" s="13" t="str">
        <x:v>None — actions are selected by CEM-MPC</x:v>
      </x:c>
      <x:c r="AJ56" s="13" t="str">
        <x:v>No external foundation-model pretraining; inherits the end-to-end LEWM encoder-predictor architecture</x:v>
      </x:c>
      <x:c r="AK56" s="13" t="str">
        <x:v>Pixel observations; actions; benchmark-specific state information</x:v>
      </x:c>
      <x:c r="AL56" s="13" t="str">
        <x:v>Goal observation encoded in latent space</x:v>
      </x:c>
      <x:c r="AM56" s="13" t="str">
        <x:v>Benchmark-specific continuous control actions</x:v>
      </x:c>
      <x:c r="AN56" s="13" t="str">
        <x:v>Two-Room; Reacher; Push-T; OGBench-Cube</x:v>
      </x:c>
      <x:c r="AO56" s="13" t="str">
        <x:v>Simulation-only benchmark agents</x:v>
      </x:c>
      <x:c r="AP56" s="13" t="str">
        <x:v>Yes</x:v>
      </x:c>
      <x:c r="AQ56" s="13" t="str">
        <x:v>No</x:v>
      </x:c>
      <x:c r="AR56" s="13" t="str">
        <x:v>Separates task progression from content in a JEPA latent and demonstrates that the progression subspace improves planning and provides an interpretable phase coordinate.</x:v>
      </x:c>
      <x:c r="AS56" s="13" t="str">
        <x:v>Uses disjoint anti-collapse objectives on orthogonal subspaces and exposes a signed angular progression signal that tracks progress, regression, and semantic perturbations.</x:v>
      </x:c>
      <x:c r="AT56" s="13" t="str">
        <x:v>The optimal progression dimension is environment-specific, planning gains are task-dependent, cosine geometry is hand selected, and the orthogonal decomposition is fixed rather than learned.</x:v>
      </x:c>
      <x:c r="AU56" s="13" t="str">
        <x:v>Learn the orthogonal decomposition, explore alternative metrics and progression readouts, and investigate broader geometric diagnostics and planning costs.</x:v>
      </x:c>
      <x:c r="AV56" s="13" t="str">
        <x:v>An action-conditioned predictor forecasts the next JEPA latent from observation history and actions.</x:v>
      </x:c>
      <x:c r="AW56" s="13" t="str">
        <x:v>CEM samples and scores action sequences using predicted latent distance to the goal, with online receding-horizon replanning.</x:v>
      </x:c>
      <x:c r="AX56" s="13" t="str">
        <x:v>The explicit horizon is 25 environment steps; the benchmark tasks are local control rather than task-level long-horizon manipulation.</x:v>
      </x:c>
      <x:c r="AY56" s="13" t="str">
        <x:v>High</x:v>
      </x:c>
      <x:c r="AZ56" s="13" t="str">
        <x:v>Core JEPA world-model and planning paper. Classify planning_horizon as Medium while long_horizon remains No.</x:v>
      </x:c>
      <x:c r="BA56" s="13" t="str">
        <x:v>Subspace-Decomposed JEPAs_ Disentangling Progression and Content in Latent World Models.txt</x:v>
      </x:c>
    </x:row>
    <x:row r="57">
      <x:c r="A57" s="13" t="str">
        <x:v>batch_12</x:v>
      </x:c>
      <x:c r="B57" s="13" t="str">
        <x:v>B12-001</x:v>
      </x:c>
      <x:c r="C57" s="13" t="str">
        <x:v>World4RL: Diffusion World Models for Policy Refinement with Reinforcement Learning for Robotic Manipulation</x:v>
      </x:c>
      <x:c r="D57" s="13" t="str">
        <x:v>Zhennan Jiang; Kai Liu; Yuxin Qin; Shuai Tian; Yupeng Zheng; Mingcai Zhou; Chao Yu; Haoran Li; Dongbin Zhao</x:v>
      </x:c>
      <x:c r="E57" s="13" t="n">
        <x:v>2025</x:v>
      </x:c>
      <x:c r="F57" s="13" t="str">
        <x:v>First public appearance: arXiv:2509.19080 in Sep 2025; supplied revision v2 dated 19 Mar 2026</x:v>
      </x:c>
      <x:c r="G57" s="13" t="str">
        <x:v>arXiv</x:v>
      </x:c>
      <x:c r="H57" s="13" t="str">
        <x:v>Preprint</x:v>
      </x:c>
      <x:c r="I57" s="13" t="str">
        <x:v>Method</x:v>
      </x:c>
      <x:c r="J57" s="13" t="str"/>
      <x:c r="K57" s="13" t="str">
        <x:v>arXiv:2509.19080</x:v>
      </x:c>
      <x:c r="L57" s="13" t="str">
        <x:v>Unknown</x:v>
      </x:c>
      <x:c r="M57" s="13" t="str">
        <x:v>No public code or model repository was identified in the supplied manuscript.</x:v>
      </x:c>
      <x:c r="N57" s="13" t="str">
        <x:v>Manipulation; World-Model-Based Reinforcement Learning</x:v>
      </x:c>
      <x:c r="O57" s="13" t="str">
        <x:v>World Modeling; Policy Refinement; Reinforcement Learning</x:v>
      </x:c>
      <x:c r="P57" s="13" t="str">
        <x:v>No</x:v>
      </x:c>
      <x:c r="Q57" s="13" t="str">
        <x:v>No</x:v>
      </x:c>
      <x:c r="R57" s="13" t="str">
        <x:v>No</x:v>
      </x:c>
      <x:c r="S57" s="13" t="str">
        <x:v>Yes</x:v>
      </x:c>
      <x:c r="T57" s="13" t="str">
        <x:v>Diffusion</x:v>
      </x:c>
      <x:c r="U57" s="13" t="str">
        <x:v>A diffusion transition model predicts future RGB observations from a four-frame action-conditioned history, while a binary reward classifier scores imagined outcomes for PPO policy refinement.</x:v>
      </x:c>
      <x:c r="V57" s="13" t="str">
        <x:v>Pixel / Observation</x:v>
      </x:c>
      <x:c r="W57" s="13" t="str">
        <x:v>Future RGB observations and sparse success reward</x:v>
      </x:c>
      <x:c r="X57" s="13" t="str">
        <x:v>Yes</x:v>
      </x:c>
      <x:c r="Y57" s="13" t="str">
        <x:v>Yes</x:v>
      </x:c>
      <x:c r="Z57" s="13" t="str">
        <x:v>No</x:v>
      </x:c>
      <x:c r="AA57" s="13" t="str">
        <x:v>None — PPO policy optimization inside frozen imagined rollouts rather than test-time action search</x:v>
      </x:c>
      <x:c r="AB57" s="13" t="str">
        <x:v>N/A</x:v>
      </x:c>
      <x:c r="AC57" s="13" t="str">
        <x:v>None</x:v>
      </x:c>
      <x:c r="AD57" s="13" t="str">
        <x:v>The world model can autoregressively generate 50-step task trajectories, but no explicit planner optimizes a candidate action sequence at deployment.</x:v>
      </x:c>
      <x:c r="AE57" s="13" t="str">
        <x:v>No</x:v>
      </x:c>
      <x:c r="AF57" s="13" t="str">
        <x:v>Yes — the refined policy acts closed loop, but there is no explicit replanning algorithm</x:v>
      </x:c>
      <x:c r="AG57" s="13" t="str">
        <x:v>Local Controller</x:v>
      </x:c>
      <x:c r="AH57" s="13" t="str">
        <x:v>Behavior Cloning; World-Model Pretraining; Proximal Policy Optimization</x:v>
      </x:c>
      <x:c r="AI57" s="13" t="str">
        <x:v>Stochastic Gaussian RL Policy</x:v>
      </x:c>
      <x:c r="AJ57" s="13" t="str">
        <x:v>Yes — policy imitation learning, diffusion dynamics pretraining, and reward-classifier training precede imagined PPO refinement</x:v>
      </x:c>
      <x:c r="AK57" s="13" t="str">
        <x:v>RGB observations</x:v>
      </x:c>
      <x:c r="AL57" s="13" t="str">
        <x:v>Task-specific sparse success reward</x:v>
      </x:c>
      <x:c r="AM57" s="13" t="str">
        <x:v>Continuous robot actions represented with two-hot encoding inside the world model</x:v>
      </x:c>
      <x:c r="AN57" s="13" t="str">
        <x:v>Six Meta-World tasks and six custom real-world tasks: open/close drawer, pick bread in/out, pick apple, and press button</x:v>
      </x:c>
      <x:c r="AO57" s="13" t="str">
        <x:v>Meta-World simulated manipulators; Franka Emika Panda</x:v>
      </x:c>
      <x:c r="AP57" s="13" t="str">
        <x:v>Yes</x:v>
      </x:c>
      <x:c r="AQ57" s="13" t="str">
        <x:v>Yes</x:v>
      </x:c>
      <x:c r="AR57" s="13" t="str">
        <x:v>Uses a high-fidelity diffusion world model as a frozen simulator for refining imitation-learned manipulation policies entirely through imagined PPO rollouts.</x:v>
      </x:c>
      <x:c r="AS57" s="13" t="str">
        <x:v>Introduces lossless two-hot continuous-action conditioning and demonstrates offline policy improvement without additional real or simulated environment interaction.</x:v>
      </x:c>
      <x:c r="AT57" s="13" t="str">
        <x:v>The current visual resolution and model capacity are moderate because of compute constraints, limiting imagined-rollout fidelity; policy learning can also exploit or suffer from imperfect learned dynamics.</x:v>
      </x:c>
      <x:c r="AU57" s="13" t="str">
        <x:v>Increase visual detail and generative capacity and develop reinforcement-learning algorithms that remain robust under imperfect world-model dynamics.</x:v>
      </x:c>
      <x:c r="AV57" s="13" t="str">
        <x:v>The diffusion transition model predicts subsequent observations conditioned on observation and action history, and the reward classifier evaluates imagined states.</x:v>
      </x:c>
      <x:c r="AW57" s="13" t="str">
        <x:v>The paper explicitly contrasts its end-to-end imagined policy optimization with world-model-based test-time planning.</x:v>
      </x:c>
      <x:c r="AX57" s="13" t="str">
        <x:v>The evaluated tasks are individual manipulation skills with 50-step trajectories, not task-level long-horizon plans.</x:v>
      </x:c>
      <x:c r="AY57" s="13" t="str">
        <x:v>High</x:v>
      </x:c>
      <x:c r="AZ57" s="13" t="str">
        <x:v>Core diffusion world-model and policy-improvement paper; exclude from explicit-planner counts.</x:v>
      </x:c>
      <x:c r="BA57" s="13" t="str">
        <x:v>World4RL_ Diffusion World Models for Policy Refinement with Reinforcement Learning for Robotic Manipulation.txt</x:v>
      </x:c>
    </x:row>
    <x:row r="58">
      <x:c r="A58" s="13" t="str">
        <x:v>batch_12</x:v>
      </x:c>
      <x:c r="B58" s="13" t="str">
        <x:v>B12-002</x:v>
      </x:c>
      <x:c r="C58" s="13" t="str">
        <x:v>What Drives Success in Physical Planning with Joint-Embedding Predictive World Models?</x:v>
      </x:c>
      <x:c r="D58" s="13" t="str">
        <x:v>Basile Terver; Tsung-Yen Yang; Jean Ponce; Adrien Bardes; Yann LeCun</x:v>
      </x:c>
      <x:c r="E58" s="13" t="n">
        <x:v>2025</x:v>
      </x:c>
      <x:c r="F58" s="13" t="str">
        <x:v>First public appearance: arXiv:2512.24497 in Dec 2025; published in TMLR in May 2026</x:v>
      </x:c>
      <x:c r="G58" s="13" t="str">
        <x:v>Transactions on Machine Learning Research</x:v>
      </x:c>
      <x:c r="H58" s="13" t="str">
        <x:v>Peer-reviewed journal article</x:v>
      </x:c>
      <x:c r="I58" s="13" t="str">
        <x:v>Method</x:v>
      </x:c>
      <x:c r="J58" s="13" t="str"/>
      <x:c r="K58" s="13" t="str">
        <x:v>arXiv:2512.24497; OpenReview cHZn5Gdh8e</x:v>
      </x:c>
      <x:c r="L58" s="13" t="str">
        <x:v>Yes</x:v>
      </x:c>
      <x:c r="M58" s="13" t="str">
        <x:v>Code, datasets, and checkpoints are released at the JEPA-WMs repository.</x:v>
      </x:c>
      <x:c r="N58" s="13" t="str">
        <x:v>General Physical Planning; Manipulation; Navigation</x:v>
      </x:c>
      <x:c r="O58" s="13" t="str">
        <x:v>World Modeling; Planning; JEPA Design Study</x:v>
      </x:c>
      <x:c r="P58" s="13" t="str">
        <x:v>No</x:v>
      </x:c>
      <x:c r="Q58" s="13" t="str">
        <x:v>No</x:v>
      </x:c>
      <x:c r="R58" s="13" t="str">
        <x:v>No</x:v>
      </x:c>
      <x:c r="S58" s="13" t="str">
        <x:v>Yes</x:v>
      </x:c>
      <x:c r="T58" s="13" t="str">
        <x:v>JEPA</x:v>
      </x:c>
      <x:c r="U58" s="13" t="str">
        <x:v>Action-conditioned JEPA world models combine a frozen visual encoder, optional proprioceptive encoder, action encoder, and an AdaLN transformer predictor trained with multistep latent rollout losses.</x:v>
      </x:c>
      <x:c r="V58" s="13" t="str">
        <x:v>Latent</x:v>
      </x:c>
      <x:c r="W58" s="13" t="str">
        <x:v>Future visual and optional proprioceptive embeddings</x:v>
      </x:c>
      <x:c r="X58" s="13" t="str">
        <x:v>Yes</x:v>
      </x:c>
      <x:c r="Y58" s="13" t="str">
        <x:v>No</x:v>
      </x:c>
      <x:c r="Z58" s="13" t="str">
        <x:v>Yes</x:v>
      </x:c>
      <x:c r="AA58" s="13" t="str">
        <x:v>MPC; Cross-Entropy Method; trajectory-optimizer comparison</x:v>
      </x:c>
      <x:c r="AB58" s="13" t="str">
        <x:v>Latent goal distance with optional proprioceptive cost</x:v>
      </x:c>
      <x:c r="AC58" s="13" t="str">
        <x:v>Medium</x:v>
      </x:c>
      <x:c r="AD58" s="13" t="str">
        <x:v>Planning spans 3–30 environment steps depending on the benchmark: H=3–6 with frame-skip 1 or 5; the best optimizer is CEM.</x:v>
      </x:c>
      <x:c r="AE58" s="13" t="str">
        <x:v>No</x:v>
      </x:c>
      <x:c r="AF58" s="13" t="str">
        <x:v>Yes</x:v>
      </x:c>
      <x:c r="AG58" s="13" t="str">
        <x:v>Full End-to-End Planner</x:v>
      </x:c>
      <x:c r="AH58" s="13" t="str">
        <x:v>Self-Supervised Latent World-Model Learning</x:v>
      </x:c>
      <x:c r="AI58" s="13" t="str">
        <x:v>None — actions are optimized at test time</x:v>
      </x:c>
      <x:c r="AJ58" s="13" t="str">
        <x:v>Yes — frozen DINOv2, DINOv3, V-JEPA, or V-JEPA-2 visual encoders are studied</x:v>
      </x:c>
      <x:c r="AK58" s="13" t="str">
        <x:v>RGB; proprioception; actions</x:v>
      </x:c>
      <x:c r="AL58" s="13" t="str">
        <x:v>Goal image encoded in latent space</x:v>
      </x:c>
      <x:c r="AM58" s="13" t="str">
        <x:v>Continuous benchmark-specific controls</x:v>
      </x:c>
      <x:c r="AN58" s="13" t="str">
        <x:v>PointMaze; Wall; Push-T; Meta-World; RoboCasa; DROID</x:v>
      </x:c>
      <x:c r="AO58" s="13" t="str">
        <x:v>Simulated navigation/manipulation agents; RoboCasa Franka; offline DROID real-robot data</x:v>
      </x:c>
      <x:c r="AP58" s="13" t="str">
        <x:v>Yes</x:v>
      </x:c>
      <x:c r="AQ58" s="13" t="str">
        <x:v>No</x:v>
      </x:c>
      <x:c r="AR58" s="13" t="str">
        <x:v>Systematically identifies the architecture, training, representation, and optimizer choices that drive successful planning with pretrained-encoder JEPA world models.</x:v>
      </x:c>
      <x:c r="AS58" s="13" t="str">
        <x:v>Provides a unified JEPA-WM recipe and finds that proprioception, multistep rollout training, task-appropriate context, AdaLN conditioning, and CEM materially improve planning.</x:v>
      </x:c>
      <x:c r="AT58" s="13" t="str">
        <x:v>Deterministic MSE predictors model the conditional mean of multimodal futures, reward-free goal-distance planning cannot directly optimize cumulative reward, and real-data experiments reveal camera and action-calibration errors.</x:v>
      </x:c>
      <x:c r="AU58" s="13" t="str">
        <x:v>Develop stochastic JEPA dynamics, such as latent-variable or latent-diffusion predictors, and integrate reward models where cumulative reward is required.</x:v>
      </x:c>
      <x:c r="AV58" s="13" t="str">
        <x:v>The predictor autoregressively forecasts future embeddings from encoded observations, proprioception, and candidate actions.</x:v>
      </x:c>
      <x:c r="AW58" s="13" t="str">
        <x:v>CEM, NeverGrad, Adam, and gradient descent are compared for optimizing action sequences through latent model rollouts; CEM is recommended.</x:v>
      </x:c>
      <x:c r="AX58" s="13" t="str">
        <x:v>The largest normalized horizon is six actions with frame-skip five, equivalent to 30 environment steps, so planning_horizon is Medium.</x:v>
      </x:c>
      <x:c r="AY58" s="13" t="str">
        <x:v>High</x:v>
      </x:c>
      <x:c r="AZ58" s="13" t="str">
        <x:v>Core JEPA planning and design-study paper. Real-world robot data are used, but no physical robot deployment is reported.</x:v>
      </x:c>
      <x:c r="BA58" s="13" t="str">
        <x:v>What Drives Successs in Physical Planning with Joint-Embedding Predictive Architecture.txt</x:v>
      </x:c>
    </x:row>
    <x:row r="59">
      <x:c r="A59" s="13" t="str">
        <x:v>batch_12</x:v>
      </x:c>
      <x:c r="B59" s="13" t="str">
        <x:v>B12-003</x:v>
      </x:c>
      <x:c r="C59" s="13" t="str">
        <x:v>WEAVER, Better, Faster, Longer: An Effective World Model for Robotic Manipulation</x:v>
      </x:c>
      <x:c r="D59" s="13" t="str">
        <x:v>Arnav Kumar Jain; Yilin Wu; Jesse Farebrother; Gokul Swamy; Andrea Bajcsy</x:v>
      </x:c>
      <x:c r="E59" s="13" t="n">
        <x:v>2026</x:v>
      </x:c>
      <x:c r="F59" s="13" t="str">
        <x:v>First public appearance: arXiv:2606.13672 in Jun 2026; supplied revision v2 dated 16 Jun 2026</x:v>
      </x:c>
      <x:c r="G59" s="13" t="str">
        <x:v>arXiv</x:v>
      </x:c>
      <x:c r="H59" s="13" t="str">
        <x:v>Preprint</x:v>
      </x:c>
      <x:c r="I59" s="13" t="str">
        <x:v>Method</x:v>
      </x:c>
      <x:c r="J59" s="13" t="str"/>
      <x:c r="K59" s="13" t="str">
        <x:v>arXiv:2606.13672</x:v>
      </x:c>
      <x:c r="L59" s="13" t="str">
        <x:v>Yes</x:v>
      </x:c>
      <x:c r="M59" s="13" t="str">
        <x:v>Code, models, and videos are released through the WEAVER project page.</x:v>
      </x:c>
      <x:c r="N59" s="13" t="str">
        <x:v>Long-Horizon Manipulation; Robot World Simulation</x:v>
      </x:c>
      <x:c r="O59" s="13" t="str">
        <x:v>World Modeling; Policy Evaluation; Policy Improvement; Test-Time Planning</x:v>
      </x:c>
      <x:c r="P59" s="13" t="str">
        <x:v>Yes</x:v>
      </x:c>
      <x:c r="Q59" s="13" t="str">
        <x:v>Yes</x:v>
      </x:c>
      <x:c r="R59" s="13" t="str">
        <x:v>No</x:v>
      </x:c>
      <x:c r="S59" s="13" t="str">
        <x:v>Yes</x:v>
      </x:c>
      <x:c r="T59" s="13" t="str">
        <x:v>Hybrid</x:v>
      </x:c>
      <x:c r="U59" s="13" t="str">
        <x:v>A multi-view latent flow-matching world model combines diffusion forcing, pretrained encoders and decoders, sparse long-term memory, recent history, and latent reward and critic heads.</x:v>
      </x:c>
      <x:c r="V59" s="13" t="str">
        <x:v>Latent</x:v>
      </x:c>
      <x:c r="W59" s="13" t="str">
        <x:v>Future multi-view visual and proprioceptive latents, rewards, and values</x:v>
      </x:c>
      <x:c r="X59" s="13" t="str">
        <x:v>Yes</x:v>
      </x:c>
      <x:c r="Y59" s="13" t="str">
        <x:v>Yes — predicted latents can be decoded into future multi-view observations</x:v>
      </x:c>
      <x:c r="Z59" s="13" t="str">
        <x:v>Yes</x:v>
      </x:c>
      <x:c r="AA59" s="13" t="str">
        <x:v>Best-of-N Test-Time Planning; Policy Rollout</x:v>
      </x:c>
      <x:c r="AB59" s="13" t="str">
        <x:v>Latent predicted advantage from reward and critic heads</x:v>
      </x:c>
      <x:c r="AC59" s="13" t="str">
        <x:v>Medium</x:v>
      </x:c>
      <x:c r="AD59" s="13" t="str">
        <x:v>Test-time steering samples four action chunks and imagines h=12 steps; the authors characterize this as short-horizon single-chunk planning constrained by latency.</x:v>
      </x:c>
      <x:c r="AE59" s="13" t="str">
        <x:v>No</x:v>
      </x:c>
      <x:c r="AF59" s="13" t="str">
        <x:v>Yes</x:v>
      </x:c>
      <x:c r="AG59" s="13" t="str">
        <x:v>Local Controller</x:v>
      </x:c>
      <x:c r="AH59" s="13" t="str">
        <x:v>Flow-Matching World-Model Learning; Reward and Value Learning; Synthetic-Data Policy Fine-Tuning</x:v>
      </x:c>
      <x:c r="AI59" s="13" t="str">
        <x:v>π0.5 Vision-Language-Action Policy with Best-of-N Steering or Synthetic-Data Fine-Tuning</x:v>
      </x:c>
      <x:c r="AJ59" s="13" t="str">
        <x:v>Yes — pretrained on DROID with pretrained encoder/decoder components and the π0.5 foundation policy</x:v>
      </x:c>
      <x:c r="AK59" s="13" t="str">
        <x:v>Language; wrist and external RGB views; proprioception; temporal memory</x:v>
      </x:c>
      <x:c r="AL59" s="13" t="str">
        <x:v>Natural-language instruction scored by learned reward and value heads</x:v>
      </x:c>
      <x:c r="AM59" s="13" t="str">
        <x:v>Continuous future action chunks</x:v>
      </x:c>
      <x:c r="AN59" s="13" t="str">
        <x:v>DROID validation and five real tasks: Stack Bowls, PnP Bag, PnP Marker, PnP Towel, and Pour Beans</x:v>
      </x:c>
      <x:c r="AO59" s="13" t="str">
        <x:v>Franka Emika Panda with external Zed 2i and wrist Zed Mini cameras</x:v>
      </x:c>
      <x:c r="AP59" s="13" t="str">
        <x:v>No</x:v>
      </x:c>
      <x:c r="AQ59" s="13" t="str">
        <x:v>Yes</x:v>
      </x:c>
      <x:c r="AR59" s="13" t="str">
        <x:v>Builds a robot world model that simultaneously supports accurate long-horizon evaluation, synthetic-data policy improvement, and low-latency test-time planning.</x:v>
      </x:c>
      <x:c r="AS59" s="13" t="str">
        <x:v>Combines latent future prediction, flow matching, diffusion forcing, multi-view memory, pretrained decoding, and latent reward/value verification in one efficient system.</x:v>
      </x:c>
      <x:c r="AT59" s="13" t="str">
        <x:v>Partial observability, deformable and dynamic contact interactions, limited embodiment and data coverage, noisy reward supervision, and generation latency still restrict planning to one action chunk.</x:v>
      </x:c>
      <x:c r="AU59" s="13" t="str">
        <x:v>Use richer sensing such as depth and touch, add physics priors, improve memory under occlusion, accelerate generation for longer lookahead, diversify embodiments, and improve reward supervision.</x:v>
      </x:c>
      <x:c r="AV59" s="13" t="str">
        <x:v>WEAVER predicts action-conditioned future latent sequences, decodable observations, and instruction-conditioned rewards and values.</x:v>
      </x:c>
      <x:c r="AW59" s="13" t="str">
        <x:v>At test time, it samples four action chunks, imagines each outcome, scores predicted advantage, and executes the best candidate.</x:v>
      </x:c>
      <x:c r="AX59" s="13" t="str">
        <x:v>The world model evaluates rollouts lasting up to 40 seconds, while explicit test-time planning uses a single 12-step action chunk.</x:v>
      </x:c>
      <x:c r="AY59" s="13" t="str">
        <x:v>High</x:v>
      </x:c>
      <x:c r="AZ59" s="13" t="str">
        <x:v>Core long-horizon world model with explicit test-time planning; task horizon is Long while numeric planning_horizon is Medium.</x:v>
      </x:c>
      <x:c r="BA59" s="13" t="str">
        <x:v>WEAVER, Better, Faster, Longer_ An Effective World Model for Robotic Manipulation.txt</x:v>
      </x:c>
    </x:row>
    <x:row r="60">
      <x:c r="A60" s="13" t="str">
        <x:v>batch_12</x:v>
      </x:c>
      <x:c r="B60" s="13" t="str">
        <x:v>B12-004</x:v>
      </x:c>
      <x:c r="C60" s="13" t="str">
        <x:v>VoxPoser: Composable 3D Value Maps for Robotic Manipulation with Language Models</x:v>
      </x:c>
      <x:c r="D60" s="13" t="str">
        <x:v>Wenlong Huang; Chen Wang; Ruohan Zhang; Yunzhu Li; Jiajun Wu; Li Fei-Fei</x:v>
      </x:c>
      <x:c r="E60" s="13" t="n">
        <x:v>2023</x:v>
      </x:c>
      <x:c r="F60" s="13" t="str">
        <x:v>First public appearance: arXiv:2307.05973 in Jul 2023; published at CoRL 2023</x:v>
      </x:c>
      <x:c r="G60" s="13" t="str">
        <x:v>Conference on Robot Learning (CoRL)</x:v>
      </x:c>
      <x:c r="H60" s="13" t="str">
        <x:v>Peer-reviewed conference article</x:v>
      </x:c>
      <x:c r="I60" s="13" t="str">
        <x:v>Method</x:v>
      </x:c>
      <x:c r="J60" s="13" t="str"/>
      <x:c r="K60" s="13" t="str">
        <x:v>arXiv:2307.05973</x:v>
      </x:c>
      <x:c r="L60" s="13" t="str">
        <x:v>Yes</x:v>
      </x:c>
      <x:c r="M60" s="13" t="str">
        <x:v>Code and videos are publicly released through the VoxPoser project.</x:v>
      </x:c>
      <x:c r="N60" s="13" t="str">
        <x:v>Language-Guided Manipulation; Open-World Robot Planning</x:v>
      </x:c>
      <x:c r="O60" s="13" t="str">
        <x:v>Planning; 3D Value Maps; Language Grounding; Optional Dynamics Learning</x:v>
      </x:c>
      <x:c r="P60" s="13" t="str">
        <x:v>Yes</x:v>
      </x:c>
      <x:c r="Q60" s="13" t="str">
        <x:v>Yes</x:v>
      </x:c>
      <x:c r="R60" s="13" t="str">
        <x:v>Yes — supports free-form instructions and corrective language feedback</x:v>
      </x:c>
      <x:c r="S60" s="13" t="str">
        <x:v>Yes</x:v>
      </x:c>
      <x:c r="T60" s="13" t="str">
        <x:v>Latent Dynamics</x:v>
      </x:c>
      <x:c r="U60" s="13" t="str">
        <x:v>Most zero-shot tasks use known or heuristic models, while contact-rich tasks learn a task-specific MLP next-state dynamics model from online transitions guided by an LLM-generated trajectory prior.</x:v>
      </x:c>
      <x:c r="V60" s="13" t="str">
        <x:v>State / 3D Point Cloud</x:v>
      </x:c>
      <x:c r="W60" s="13" t="str">
        <x:v>Next task-relevant object or scene state</x:v>
      </x:c>
      <x:c r="X60" s="13" t="str">
        <x:v>Yes</x:v>
      </x:c>
      <x:c r="Y60" s="13" t="str">
        <x:v>No</x:v>
      </x:c>
      <x:c r="Z60" s="13" t="str">
        <x:v>Yes</x:v>
      </x:c>
      <x:c r="AA60" s="13" t="str">
        <x:v>Hierarchical Language Planner; MPC; Zeroth-Order Trajectory Optimization</x:v>
      </x:c>
      <x:c r="AB60" s="13" t="str">
        <x:v>Composable 3D voxel affordance, avoidance, rotation, velocity, and gripper maps</x:v>
      </x:c>
      <x:c r="AC60" s="13" t="str">
        <x:v>Long</x:v>
      </x:c>
      <x:c r="AD60" s="13" t="str">
        <x:v>An LLM decomposes arbitrarily long instructions into task phases, while the low-level controller replans dense 6-DoF trajectories at 5 Hz.</x:v>
      </x:c>
      <x:c r="AE60" s="13" t="str">
        <x:v>Yes</x:v>
      </x:c>
      <x:c r="AF60" s="13" t="str">
        <x:v>Yes</x:v>
      </x:c>
      <x:c r="AG60" s="13" t="str">
        <x:v>Full End-to-End Planner</x:v>
      </x:c>
      <x:c r="AH60" s="13" t="str">
        <x:v>Zero-Shot Foundation-Model Prompting; Optional Online Dynamics Learning</x:v>
      </x:c>
      <x:c r="AI60" s="13" t="str">
        <x:v>None — model-based trajectory optimizer</x:v>
      </x:c>
      <x:c r="AJ60" s="13" t="str">
        <x:v>Yes — pretrained LLM and VLM components</x:v>
      </x:c>
      <x:c r="AK60" s="13" t="str">
        <x:v>Natural language; dual RGB-D cameras; 3D voxel and point-cloud representations</x:v>
      </x:c>
      <x:c r="AL60" s="13" t="str">
        <x:v>Free-form language converted into 3D value-map objectives</x:v>
      </x:c>
      <x:c r="AM60" s="13" t="str">
        <x:v>Continuous 6-DoF end-effector waypoints with gripper and velocity parameters</x:v>
      </x:c>
      <x:c r="AN60" s="13" t="str">
        <x:v>Five real-world everyday tasks; 13 simulated task families with 2,766 instructions; contact-rich door, window, and refrigerator tasks</x:v>
      </x:c>
      <x:c r="AO60" s="13" t="str">
        <x:v>Franka Emika Panda</x:v>
      </x:c>
      <x:c r="AP60" s="13" t="str">
        <x:v>Yes</x:v>
      </x:c>
      <x:c r="AQ60" s="13" t="str">
        <x:v>Yes</x:v>
      </x:c>
      <x:c r="AR60" s="13" t="str">
        <x:v>Uses LLM-generated code and VLM perception to compose dense 3D value maps that directly serve as objectives for closed-loop robot trajectory optimization.</x:v>
      </x:c>
      <x:c r="AS60" s="13" t="str">
        <x:v>Grounds open-world language affordances and constraints spatially instead of selecting a fixed skill primitive, while using synthesized trajectories as efficient priors for dynamics learning.</x:v>
      </x:c>
      <x:c r="AT60" s="13" t="str">
        <x:v>Depends on external perception modules and manual prompt engineering, lacks a general-purpose contact dynamics model, and optimizes only end-effector rather than whole-arm trajectories.</x:v>
      </x:c>
      <x:c r="AU60" s="13" t="str">
        <x:v>Use multimodal LLMs for direct grounding, reduce prompt engineering through alignment methods, learn more general dynamics, and develop stronger whole-arm trajectory optimizers.</x:v>
      </x:c>
      <x:c r="AV60" s="13" t="str">
        <x:v>For contact-rich tasks, an action-conditioned MLP predicts the next observation and is learned online from transitions collected around a zero-shot trajectory prior.</x:v>
      </x:c>
      <x:c r="AW60" s="13" t="str">
        <x:v>LLMs decompose instructions, compose value-map costs, and a closed-loop MPC optimizer repeatedly samples and scores trajectories.</x:v>
      </x:c>
      <x:c r="AX60" s="13" t="str">
        <x:v>The framework supports task-level decomposition and multi-step programs, while each low-level trajectory is replanned continuously.</x:v>
      </x:c>
      <x:c r="AY60" s="13" t="str">
        <x:v>High</x:v>
      </x:c>
      <x:c r="AZ60" s="13" t="str">
        <x:v>World-model use is optional and task-specific: most zero-shot experiments use known or heuristic dynamics, but the paper includes an evaluated learned predictive model.</x:v>
      </x:c>
      <x:c r="BA60" s="13" t="str">
        <x:v>VoxPoser_ Composable 3D Value Maps for Robotic Manipulation with Language Models.txt</x:v>
      </x:c>
    </x:row>
    <x:row r="61">
      <x:c r="A61" s="13" t="str">
        <x:v>batch_12</x:v>
      </x:c>
      <x:c r="B61" s="13" t="str">
        <x:v>B12-005</x:v>
      </x:c>
      <x:c r="C61" s="13" t="str">
        <x:v>VLMPC: Vision-Language Model Predictive Control for Robotic Manipulation</x:v>
      </x:c>
      <x:c r="D61" s="13" t="str">
        <x:v>Wentao Zhao; Jiaming Chen; Ziyu Meng; Donghui Mao; Ran Song; Wei Zhang</x:v>
      </x:c>
      <x:c r="E61" s="13" t="n">
        <x:v>2024</x:v>
      </x:c>
      <x:c r="F61" s="13" t="str">
        <x:v>Published at Robotics: Science and Systems 2024</x:v>
      </x:c>
      <x:c r="G61" s="13" t="str">
        <x:v>Robotics: Science and Systems (RSS)</x:v>
      </x:c>
      <x:c r="H61" s="13" t="str">
        <x:v>Peer-reviewed conference article</x:v>
      </x:c>
      <x:c r="I61" s="13" t="str">
        <x:v>Method</x:v>
      </x:c>
      <x:c r="J61" s="13" t="str"/>
      <x:c r="K61" s="13" t="str">
        <x:v>RSS 2024</x:v>
      </x:c>
      <x:c r="L61" s="13" t="str">
        <x:v>Yes</x:v>
      </x:c>
      <x:c r="M61" s="13" t="str">
        <x:v>Code is publicly released at the VLMPC repository.</x:v>
      </x:c>
      <x:c r="N61" s="13" t="str">
        <x:v>Language-Guided Manipulation; Vision-Based Model Predictive Control</x:v>
      </x:c>
      <x:c r="O61" s="13" t="str">
        <x:v>World Modeling; Planning; Vision-Language Reasoning</x:v>
      </x:c>
      <x:c r="P61" s="13" t="str">
        <x:v>Yes</x:v>
      </x:c>
      <x:c r="Q61" s="13" t="str">
        <x:v>Yes — also accepts a goal image</x:v>
      </x:c>
      <x:c r="R61" s="13" t="str">
        <x:v>No</x:v>
      </x:c>
      <x:c r="S61" s="13" t="str">
        <x:v>Yes</x:v>
      </x:c>
      <x:c r="T61" s="13" t="str">
        <x:v>Video Prediction</x:v>
      </x:c>
      <x:c r="U61" s="13" t="str">
        <x:v>DMVFN-Act is a lightweight action-conditioned video predictor that autoregressively generates future RGB frames for VLM-guided candidate action sequences.</x:v>
      </x:c>
      <x:c r="V61" s="13" t="str">
        <x:v>Pixel / Observation</x:v>
      </x:c>
      <x:c r="W61" s="13" t="str">
        <x:v>Future RGB frames under candidate action sequences</x:v>
      </x:c>
      <x:c r="X61" s="13" t="str">
        <x:v>Yes</x:v>
      </x:c>
      <x:c r="Y61" s="13" t="str">
        <x:v>Yes</x:v>
      </x:c>
      <x:c r="Z61" s="13" t="str">
        <x:v>Yes</x:v>
      </x:c>
      <x:c r="AA61" s="13" t="str">
        <x:v>MPC; VLM-Guided Conditional Action Sampling</x:v>
      </x:c>
      <x:c r="AB61" s="13" t="str">
        <x:v>Predicted videos scored by pixel-level and VLM knowledge-level costs</x:v>
      </x:c>
      <x:c r="AC61" s="13" t="str">
        <x:v>Short</x:v>
      </x:c>
      <x:c r="AD61" s="13" t="str">
        <x:v>Each receding-horizon iteration predicts a finite T-action sequence, executes only the first action, and repeats; the main paper does not report a normalized numeric T.</x:v>
      </x:c>
      <x:c r="AE61" s="13" t="str">
        <x:v>Yes — VLM-derived subgoals and interference objects guide a lower-level video MPC loop</x:v>
      </x:c>
      <x:c r="AF61" s="13" t="str">
        <x:v>Yes</x:v>
      </x:c>
      <x:c r="AG61" s="13" t="str">
        <x:v>Full End-to-End Planner</x:v>
      </x:c>
      <x:c r="AH61" s="13" t="str">
        <x:v>Supervised Action-Conditioned Video Prediction; Foundation-Model Prompting</x:v>
      </x:c>
      <x:c r="AI61" s="13" t="str">
        <x:v>None — sampling-based MPC</x:v>
      </x:c>
      <x:c r="AJ61" s="13" t="str">
        <x:v>Yes — GPT-4V and Qwen-VL plus DMVFN-Act pretraining on three Open X-Embodiment subsets</x:v>
      </x:c>
      <x:c r="AK61" s="13" t="str">
        <x:v>Monocular RGB; goal image or natural-language instruction; recent executed actions</x:v>
      </x:c>
      <x:c r="AL61" s="13" t="str">
        <x:v>Goal image or natural-language instruction decomposed into visual subgoals</x:v>
      </x:c>
      <x:c r="AM61" s="13" t="str">
        <x:v>Continuous 7D translation, rotation, and gripper actions</x:v>
      </x:c>
      <x:c r="AN61" s="13" t="str">
        <x:v>RoboDesk seven-task VP2 benchmark; Language Table move-to-area across 50 environments; four real-world tasks</x:v>
      </x:c>
      <x:c r="AO61" s="13" t="str">
        <x:v>Simulated Franka Panda; real UR5 robot</x:v>
      </x:c>
      <x:c r="AP61" s="13" t="str">
        <x:v>Yes</x:v>
      </x:c>
      <x:c r="AQ61" s="13" t="str">
        <x:v>Yes</x:v>
      </x:c>
      <x:c r="AR61" s="13" t="str">
        <x:v>Integrates VLM-guided action sampling and semantic video scoring with action-conditioned visual MPC for open-set robotic manipulation.</x:v>
      </x:c>
      <x:c r="AS61" s="13" t="str">
        <x:v>Uses VLMs both to bias candidate trajectories toward semantic subgoals and to evaluate predicted futures beyond pixel similarity.</x:v>
      </x:c>
      <x:c r="AT61" s="13" t="str">
        <x:v>Predicted videos can be inconsistent with their conditioning actions, VLM calls add substantial computation, and sparse semantic evaluation can fail in tightly constrained motion spaces.</x:v>
      </x:c>
      <x:c r="AU61" s="13" t="str">
        <x:v>Develop more reliable action-conditioned video prediction and a more efficient method for integrating large VLMs into every MPC step.</x:v>
      </x:c>
      <x:c r="AV61" s="13" t="str">
        <x:v>DMVFN-Act autoregressively predicts future observations frame by frame from past images and candidate actions.</x:v>
      </x:c>
      <x:c r="AW61" s="13" t="str">
        <x:v>VLMPC samples candidate action sequences, predicts their videos, scores them with hierarchical costs, and executes the first action of the best sequence.</x:v>
      </x:c>
      <x:c r="AX61" s="13" t="str">
        <x:v>Real tasks such as putting a banana in a bowl and wiping water require multiple subgoals and can run for several minutes, while each explicit MPC rollout is short.</x:v>
      </x:c>
      <x:c r="AY61" s="13" t="str">
        <x:v>High</x:v>
      </x:c>
      <x:c r="AZ61" s="13" t="str">
        <x:v>Core pixel-space world-model planner. Task horizon is Long, but numeric MPC horizon is classified Short because T is not reported in the main paper.</x:v>
      </x:c>
      <x:c r="BA61" s="13" t="str">
        <x:v>VLMPC_ Vision-Language Model Predictive Control for Robotic Manipulation.txt</x:v>
      </x:c>
    </x:row>
    <x:row r="62">
      <x:c r="A62" s="13" t="str">
        <x:v>batch_13</x:v>
      </x:c>
      <x:c r="B62" s="13" t="str">
        <x:v>B13-001</x:v>
      </x:c>
      <x:c r="C62" s="13" t="str">
        <x:v>World Value Models for Robotic Manipulation</x:v>
      </x:c>
      <x:c r="D62" s="13" t="str">
        <x:v>Zhihao Wang; Jianxiong Li; Yu Cui; Yuan Gao; Xianyuan Zhan; Junzhi Yu; Xiao Ma</x:v>
      </x:c>
      <x:c r="E62" s="13" t="n">
        <x:v>2026</x:v>
      </x:c>
      <x:c r="F62" s="13" t="str">
        <x:v>First public appearance: arXiv:2606.24742 on 23 Jun 2026; manuscript dated 24 Jun 2026</x:v>
      </x:c>
      <x:c r="G62" s="13" t="str">
        <x:v>arXiv</x:v>
      </x:c>
      <x:c r="H62" s="13" t="str">
        <x:v>Preprint</x:v>
      </x:c>
      <x:c r="I62" s="13" t="str">
        <x:v>Method</x:v>
      </x:c>
      <x:c r="J62" s="13" t="str"/>
      <x:c r="K62" s="13" t="str">
        <x:v>arXiv:2606.24742</x:v>
      </x:c>
      <x:c r="L62" s="13" t="str">
        <x:v>Unknown</x:v>
      </x:c>
      <x:c r="M62" s="13" t="str">
        <x:v>A project page is listed and the authors state that WVM and Suboptimal-Value-Bench will be released, but a public repository was not confirmed in the supplied manuscript.</x:v>
      </x:c>
      <x:c r="N62" s="13" t="str">
        <x:v>Manipulation; Generalist Value Modeling; Policy Improvement</x:v>
      </x:c>
      <x:c r="O62" s="13" t="str">
        <x:v>World Modeling; Value Estimation; Mixed-Quality Data Learning; Benchmarking</x:v>
      </x:c>
      <x:c r="P62" s="13" t="str">
        <x:v>No</x:v>
      </x:c>
      <x:c r="Q62" s="13" t="str">
        <x:v>Yes</x:v>
      </x:c>
      <x:c r="R62" s="13" t="str">
        <x:v>No</x:v>
      </x:c>
      <x:c r="S62" s="13" t="str">
        <x:v>Yes</x:v>
      </x:c>
      <x:c r="T62" s="13" t="str">
        <x:v>Hybrid</x:v>
      </x:c>
      <x:c r="U62" s="13" t="str">
        <x:v>A pretrained Wan2.2 video world-model stream is coupled to a lightweight value DiT through asymmetric Mixture-of-Transformers attention; both future-video latents and distributional value chunks are trained with flow matching.</x:v>
      </x:c>
      <x:c r="V62" s="13" t="str">
        <x:v>Hybrid Latent / Value</x:v>
      </x:c>
      <x:c r="W62" s="13" t="str">
        <x:v>Future video latents and a temporally dense task-progress value chunk</x:v>
      </x:c>
      <x:c r="X62" s="13" t="str">
        <x:v>No — conditioned on video history and language rather than robot actions</x:v>
      </x:c>
      <x:c r="Y62" s="13" t="str">
        <x:v>Yes — future video latents are co-trained as a world-modeling objective</x:v>
      </x:c>
      <x:c r="Z62" s="13" t="str">
        <x:v>No</x:v>
      </x:c>
      <x:c r="AA62" s="13" t="str">
        <x:v>None — value estimation guides offline data filtering and advantage-weighted policy learning</x:v>
      </x:c>
      <x:c r="AB62" s="13" t="str">
        <x:v>N/A</x:v>
      </x:c>
      <x:c r="AC62" s="13" t="str">
        <x:v>None</x:v>
      </x:c>
      <x:c r="AD62" s="13" t="str">
        <x:v>The model predicts progress over video chunks but does not optimize candidate action sequences; current downstream tasks are pick-and-place skills.</x:v>
      </x:c>
      <x:c r="AE62" s="13" t="str">
        <x:v>No</x:v>
      </x:c>
      <x:c r="AF62" s="13" t="str">
        <x:v>No — WVM is used as an offline value estimator for policy-learning data</x:v>
      </x:c>
      <x:c r="AG62" s="13" t="str">
        <x:v>None</x:v>
      </x:c>
      <x:c r="AH62" s="13" t="str">
        <x:v>Video and Value Flow Matching; Distributional Value Learning; Offline Policy Improvement</x:v>
      </x:c>
      <x:c r="AI62" s="13" t="str">
        <x:v>Generalist Value Model used with AWR and Filtered Behavioral Cloning</x:v>
      </x:c>
      <x:c r="AJ62" s="13" t="str">
        <x:v>Yes — initialized from the Wan2.2-TI2V-5B video world model</x:v>
      </x:c>
      <x:c r="AK62" s="13" t="str">
        <x:v>Video clips; natural-language task instruction</x:v>
      </x:c>
      <x:c r="AL62" s="13" t="str">
        <x:v>Natural-language instruction and normalized task-progress labels</x:v>
      </x:c>
      <x:c r="AM62" s="13" t="str">
        <x:v>N/A — the model predicts values rather than actions</x:v>
      </x:c>
      <x:c r="AN62" s="13" t="str">
        <x:v>Suboptimal-Value-Bench; Expert-VOC on OXE, RoboCOIN, EgoDex, AgileX, ARX, and RoboSuite; downstream RoboSuite and AgileX policy learning</x:v>
      </x:c>
      <x:c r="AO62" s="13" t="str">
        <x:v>Franka in RoboSuite; AgileX dual-arm; ARX and additional embodiments in value-model evaluation</x:v>
      </x:c>
      <x:c r="AP62" s="13" t="str">
        <x:v>Yes</x:v>
      </x:c>
      <x:c r="AQ62" s="13" t="str">
        <x:v>Yes</x:v>
      </x:c>
      <x:c r="AR62" s="13" t="str">
        <x:v>Repurposes a pretrained video world model as a generalist robotic value estimator and introduces an 800-trajectory benchmark with dense human annotations for hesitation and retry behavior.</x:v>
      </x:c>
      <x:c r="AS62" s="13" t="str">
        <x:v>Models value as a distributional temporal chunk with flow matching and couples a value DiT to a video DiT without allowing value tokens to interfere with the video stream.</x:v>
      </x:c>
      <x:c r="AT62" s="13" t="str">
        <x:v>Training scale is constrained by computation, limiting zero-shot transfer to unseen tasks and scenes; Suboptimal-Value-Bench is concentrated on pick-and-place behavior.</x:v>
      </x:c>
      <x:c r="AU62" s="13" t="str">
        <x:v>Scale the training mixture and expand evaluation toward more dexterous and genuinely long-horizon manipulation.</x:v>
      </x:c>
      <x:c r="AV62" s="13" t="str">
        <x:v>The retained video stream predicts future video latents from the current clip while the value stream extracts temporally grounded progress signals from the same predictive features.</x:v>
      </x:c>
      <x:c r="AW62" s="13" t="str">
        <x:v>WVM ranks or weights offline data for AWR and filtered behavioral cloning; it does not roll out candidate robot actions or execute MPC.</x:v>
      </x:c>
      <x:c r="AX62" s="13" t="str">
        <x:v>The evaluated downstream tasks are individual pick-and-place skills, and the paper explicitly identifies long-horizon manipulation as future benchmark expansion.</x:v>
      </x:c>
      <x:c r="AY62" s="13" t="str">
        <x:v>High</x:v>
      </x:c>
      <x:c r="AZ62" s="13" t="str">
        <x:v>Core world-model-derived value method. Count as a strict predictive world model because future video prediction remains an explicit co-training objective, but exclude from planner and action-conditioned-world-model counts.</x:v>
      </x:c>
      <x:c r="BA62" s="13" t="str">
        <x:v>World Value Models for Robotic Manipulation.txt</x:v>
      </x:c>
    </x:row>
    <x:row r="63">
      <x:c r="A63" s="13" t="str">
        <x:v>batch_13</x:v>
      </x:c>
      <x:c r="B63" s="13" t="str">
        <x:v>B13-002</x:v>
      </x:c>
      <x:c r="C63" s="13" t="str">
        <x:v>World models and predictive coding for cognitive and developmental robotics: frontiers and challenges</x:v>
      </x:c>
      <x:c r="D63" s="13" t="str">
        <x:v>Tadahiro Taniguchi; Shingo Murata; Masahiro Suzuki; Dimitri Ognibene; Pablo Lanillos; Emre Ugur; Lorenzo Jamone; Tomoaki Nakamura; Alejandra Ciria; Bruno Lara; Giovanni Pezzulo</x:v>
      </x:c>
      <x:c r="E63" s="13" t="n">
        <x:v>2023</x:v>
      </x:c>
      <x:c r="F63" s="13" t="str">
        <x:v>Published online 26 Jun 2023</x:v>
      </x:c>
      <x:c r="G63" s="13" t="str">
        <x:v>Advanced Robotics</x:v>
      </x:c>
      <x:c r="H63" s="13" t="str">
        <x:v>Peer-reviewed survey article</x:v>
      </x:c>
      <x:c r="I63" s="13" t="str">
        <x:v>Survey</x:v>
      </x:c>
      <x:c r="J63" s="13" t="str"/>
      <x:c r="K63" s="13" t="str">
        <x:v>10.1080/01691864.2023.2225232</x:v>
      </x:c>
      <x:c r="L63" s="13" t="str">
        <x:v>Unknown</x:v>
      </x:c>
      <x:c r="M63" s="13" t="str">
        <x:v>The article is open access, but no companion software repository is associated with the survey.</x:v>
      </x:c>
      <x:c r="N63" s="13" t="str">
        <x:v>Cognitive Robotics; Developmental Robotics; General Robotics</x:v>
      </x:c>
      <x:c r="O63" s="13" t="str">
        <x:v>Survey; World Models; Predictive Coding; Active Inference; Lifelong Learning</x:v>
      </x:c>
      <x:c r="P63" s="13" t="str">
        <x:v>N/A — extended planning, continual development, and lifelong learning are reviewed</x:v>
      </x:c>
      <x:c r="Q63" s="13" t="str">
        <x:v>N/A — language and symbol formation are discussed as research frontiers</x:v>
      </x:c>
      <x:c r="R63" s="13" t="str">
        <x:v>N/A — social interaction and human-robot collaboration are central reviewed topics</x:v>
      </x:c>
      <x:c r="S63" s="13" t="str">
        <x:v>N/A — multiple learned and cognitive world-model paradigms are reviewed</x:v>
      </x:c>
      <x:c r="T63" s="13" t="str">
        <x:v>N/A — latent state-space, predictive-coding, active-inference, neuro-symbolic, and cognitive architectures</x:v>
      </x:c>
      <x:c r="U63" s="13" t="str">
        <x:v>Connects AI world models with predictive coding, the free-energy principle, and active inference from a robot-centered sensorimotor perspective.</x:v>
      </x:c>
      <x:c r="V63" s="13" t="str">
        <x:v>N/A</x:v>
      </x:c>
      <x:c r="W63" s="13" t="str">
        <x:v>N/A</x:v>
      </x:c>
      <x:c r="X63" s="13" t="str">
        <x:v>N/A</x:v>
      </x:c>
      <x:c r="Y63" s="13" t="str">
        <x:v>N/A</x:v>
      </x:c>
      <x:c r="Z63" s="13" t="str">
        <x:v>N/A — latent planning, active inference, model-based RL, and goal recognition are reviewed</x:v>
      </x:c>
      <x:c r="AA63" s="13" t="str">
        <x:v>N/A</x:v>
      </x:c>
      <x:c r="AB63" s="13" t="str">
        <x:v>Belief, latent, symbolic, sensorimotor, and cognitive representations</x:v>
      </x:c>
      <x:c r="AC63" s="13" t="str">
        <x:v>N/A</x:v>
      </x:c>
      <x:c r="AD63" s="13" t="str">
        <x:v>The survey discusses extended expected-free-energy planning and lifelong development rather than one implemented planner.</x:v>
      </x:c>
      <x:c r="AE63" s="13" t="str">
        <x:v>N/A</x:v>
      </x:c>
      <x:c r="AF63" s="13" t="str">
        <x:v>N/A</x:v>
      </x:c>
      <x:c r="AG63" s="13" t="str">
        <x:v>N/A</x:v>
      </x:c>
      <x:c r="AH63" s="13" t="str">
        <x:v>N/A</x:v>
      </x:c>
      <x:c r="AI63" s="13" t="str">
        <x:v>N/A</x:v>
      </x:c>
      <x:c r="AJ63" s="13" t="str">
        <x:v>N/A</x:v>
      </x:c>
      <x:c r="AK63" s="13" t="str">
        <x:v>Multiple sensorimotor, bodily, social, language, and interoceptive modalities</x:v>
      </x:c>
      <x:c r="AL63" s="13" t="str">
        <x:v>Multiple, including reward, preferences, expected free energy, symbols, and social goals</x:v>
      </x:c>
      <x:c r="AM63" s="13" t="str">
        <x:v>Multiple</x:v>
      </x:c>
      <x:c r="AN63" s="13" t="str">
        <x:v>Multiple cognitive, developmental, neurorobotic, active-inference, affordance, and HRI studies</x:v>
      </x:c>
      <x:c r="AO63" s="13" t="str">
        <x:v>Multiple</x:v>
      </x:c>
      <x:c r="AP63" s="13" t="str">
        <x:v>Both / Survey</x:v>
      </x:c>
      <x:c r="AQ63" s="13" t="str">
        <x:v>Both / Survey</x:v>
      </x:c>
      <x:c r="AR63" s="13" t="str">
        <x:v>Clarifies the relationship among world models, predictive coding, the free-energy principle, and active inference for cognitive and developmental robotics.</x:v>
      </x:c>
      <x:c r="AS63" s="13" t="str">
        <x:v>Bridges modern AI world modeling and neuroscience-inspired predictive processing while organizing six major frontiers for embodied cognitive development.</x:v>
      </x:c>
      <x:c r="AT63" s="13" t="str">
        <x:v>The reviewed field remains dominated by simulation or offline pretrained models, is data hungry, has limited scalable software support, and lacks robust online adaptation and integration across policy, body, social, and symbolic processes.</x:v>
      </x:c>
      <x:c r="AU63" s="13" t="str">
        <x:v>Advance latent representations for planning, neuro-symbolic prediction, affordance learning, social world models, brain-inspired models, cognitive architectures, scalable software, lifelong adaptation, and emergent embodied behavior.</x:v>
      </x:c>
      <x:c r="AV63" s="13" t="str">
        <x:v>World models are defined as internal predictive models of how external, bodily, and social states evolve and generate future sensory observations.</x:v>
      </x:c>
      <x:c r="AW63" s="13" t="str">
        <x:v>The survey links learned dynamics to model-based planning and active inference through expected-free-energy optimization over future action sequences.</x:v>
      </x:c>
      <x:c r="AX63" s="13" t="str">
        <x:v>Continual learning, long-term development, extended planning, and adaptation to non-stationary environments are discussed as field-level goals.</x:v>
      </x:c>
      <x:c r="AY63" s="13" t="str">
        <x:v>High</x:v>
      </x:c>
      <x:c r="AZ63" s="13" t="str">
        <x:v>Foundational conceptual survey and peripheral to the manipulation-method corpus; retain for theory, active inference, lifelong learning, and social-world-model framing.</x:v>
      </x:c>
      <x:c r="BA63" s="13" t="str">
        <x:v>World models and predictive coding for cognitive and developmental robotics  frontiers and challenges.txt</x:v>
      </x:c>
    </x:row>
    <x:row r="64">
      <x:c r="A64" s="13" t="str">
        <x:v>batch_13</x:v>
      </x:c>
      <x:c r="B64" s="13" t="str">
        <x:v>B13-003</x:v>
      </x:c>
      <x:c r="C64" s="13" t="str">
        <x:v>World Model for Robot Learning: A Comprehensive Survey</x:v>
      </x:c>
      <x:c r="D64" s="13" t="str">
        <x:v>Bohan Hou; Gen Li; Jindou Jia; Tuo An; Xinying Guo; Sicong Leng; Haoran Geng; Yanjie Ze; Tatsuya Harada; Philip Torr; Oier Mees; Marc Pollefeys; Zhuang Liu; Jiajun Wu; Pieter Abbeel; Jitendra Malik; Yilun Du; Jianfei Yang</x:v>
      </x:c>
      <x:c r="E64" s="13" t="n">
        <x:v>2026</x:v>
      </x:c>
      <x:c r="F64" s="13" t="str">
        <x:v>First public appearance: arXiv:2605.00080 on 30 Apr 2026</x:v>
      </x:c>
      <x:c r="G64" s="13" t="str">
        <x:v>arXiv</x:v>
      </x:c>
      <x:c r="H64" s="13" t="str">
        <x:v>Preprint</x:v>
      </x:c>
      <x:c r="I64" s="13" t="str">
        <x:v>Survey</x:v>
      </x:c>
      <x:c r="J64" s="13" t="str"/>
      <x:c r="K64" s="13" t="str">
        <x:v>arXiv:2605.00080</x:v>
      </x:c>
      <x:c r="L64" s="13" t="str">
        <x:v>Yes</x:v>
      </x:c>
      <x:c r="M64" s="13" t="str">
        <x:v>The authors maintain an Awesome World Model for Robotics Policy GitHub repository and a companion project website.</x:v>
      </x:c>
      <x:c r="N64" s="13" t="str">
        <x:v>General Robotics; Manipulation; Navigation; Autonomous Driving</x:v>
      </x:c>
      <x:c r="O64" s="13" t="str">
        <x:v>Survey; Robot World Models; Policy Learning; Simulation; Evaluation; Video Generation</x:v>
      </x:c>
      <x:c r="P64" s="13" t="str">
        <x:v>N/A — long-horizon prediction, policy learning, and planning are reviewed</x:v>
      </x:c>
      <x:c r="Q64" s="13" t="str">
        <x:v>N/A — language-conditioned policies and world models are extensively reviewed</x:v>
      </x:c>
      <x:c r="R64" s="13" t="str">
        <x:v>N/A</x:v>
      </x:c>
      <x:c r="S64" s="13" t="str">
        <x:v>N/A — the survey reviews policy-coupled, simulator, latent, video, and structured world models</x:v>
      </x:c>
      <x:c r="T64" s="13" t="str">
        <x:v>N/A — video generation, latent dynamics, JEPA, diffusion, unified VLA, MoE/MoT, and symbolic models</x:v>
      </x:c>
      <x:c r="U64" s="13" t="str">
        <x:v>Defines robot world models functionally as predictive structures that support action generation, planning, simulation, evaluation, and data amplification.</x:v>
      </x:c>
      <x:c r="V64" s="13" t="str">
        <x:v>N/A</x:v>
      </x:c>
      <x:c r="W64" s="13" t="str">
        <x:v>N/A</x:v>
      </x:c>
      <x:c r="X64" s="13" t="str">
        <x:v>N/A</x:v>
      </x:c>
      <x:c r="Y64" s="13" t="str">
        <x:v>N/A</x:v>
      </x:c>
      <x:c r="Z64" s="13" t="str">
        <x:v>N/A — explicit MPC, rollout evaluation, simulator-based RL, and high-level planning are reviewed</x:v>
      </x:c>
      <x:c r="AA64" s="13" t="str">
        <x:v>N/A</x:v>
      </x:c>
      <x:c r="AB64" s="13" t="str">
        <x:v>Multiple: pixels, video, latent state, structured state, symbolic relations, rewards, and values</x:v>
      </x:c>
      <x:c r="AC64" s="13" t="str">
        <x:v>N/A</x:v>
      </x:c>
      <x:c r="AD64" s="13" t="str">
        <x:v>The paper reviews short- and long-horizon prediction and control across many systems rather than reporting one planner.</x:v>
      </x:c>
      <x:c r="AE64" s="13" t="str">
        <x:v>N/A</x:v>
      </x:c>
      <x:c r="AF64" s="13" t="str">
        <x:v>N/A</x:v>
      </x:c>
      <x:c r="AG64" s="13" t="str">
        <x:v>N/A</x:v>
      </x:c>
      <x:c r="AH64" s="13" t="str">
        <x:v>N/A</x:v>
      </x:c>
      <x:c r="AI64" s="13" t="str">
        <x:v>N/A</x:v>
      </x:c>
      <x:c r="AJ64" s="13" t="str">
        <x:v>N/A</x:v>
      </x:c>
      <x:c r="AK64" s="13" t="str">
        <x:v>Multiple: RGB/video, language, proprioception, depth, tactile, force, and driving sensors</x:v>
      </x:c>
      <x:c r="AL64" s="13" t="str">
        <x:v>Multiple</x:v>
      </x:c>
      <x:c r="AM64" s="13" t="str">
        <x:v>Multiple</x:v>
      </x:c>
      <x:c r="AN64" s="13" t="str">
        <x:v>Representative robot world-model datasets, training corpora, manipulation and navigation benchmarks, simulator suites, and evaluation protocols</x:v>
      </x:c>
      <x:c r="AO64" s="13" t="str">
        <x:v>Multiple</x:v>
      </x:c>
      <x:c r="AP64" s="13" t="str">
        <x:v>Both / Survey</x:v>
      </x:c>
      <x:c r="AQ64" s="13" t="str">
        <x:v>Both / Survey</x:v>
      </x:c>
      <x:c r="AR64" s="13" t="str">
        <x:v>Provides a policy-centric taxonomy of how robot world models couple to policies and serve as learned simulators, evaluators, planners, and video generators.</x:v>
      </x:c>
      <x:c r="AS64" s="13" t="str">
        <x:v>Unifies architectural and functional perspectives and distinguishes foresight, imagination-driven planning, and data amplification as central actionable capabilities.</x:v>
      </x:c>
      <x:c r="AT64" s="13" t="str">
        <x:v>The field lacks reliable action-conditioned causal consistency, efficient training and inference, multimodal physical sensing, integration with formal control and symbolic structure, and standardized function-aware evaluation.</x:v>
      </x:c>
      <x:c r="AU64" s="13" t="str">
        <x:v>Improve causal action conditioning, latent and efficient inference, tactile and force integration, hybrid learned and classical control, symbolic or object-centric abstraction, and metrics for action sensitivity, long-horizon consistency, executability, and control utility.</x:v>
      </x:c>
      <x:c r="AV64" s="13" t="str">
        <x:v>The survey centers on predictive models of future robot-environment evolution and distinguishes passive, controllable, latent, video, simulator, and symbolic formulations.</x:v>
      </x:c>
      <x:c r="AW64" s="13" t="str">
        <x:v>It reviews imagined-rollout candidate ranking, MPC, gradient-based planning, simulator-based policy refinement, and policy evaluation.</x:v>
      </x:c>
      <x:c r="AX64" s="13" t="str">
        <x:v>Long-horizon reliability and error accumulation are identified as central open challenges, especially for pixel-space world models.</x:v>
      </x:c>
      <x:c r="AY64" s="13" t="str">
        <x:v>High</x:v>
      </x:c>
      <x:c r="AZ64" s="13" t="str">
        <x:v>Core final survey for the corpus. Its broad action definition includes language-conditioned futures; preserve the master dataset's stricter method-level action-conditioning annotation separately.</x:v>
      </x:c>
      <x:c r="BA64" s="13" t="str">
        <x:v>World Model for Robot Learning_ A Comprehensive Survey.txt</x:v>
      </x:c>
    </x:row>
  </x:sheetData>
  <x:pageMargins left="0.7" right="0.7" top="0.75" bottom="0.75" header="0.3" footer="0.3"/>
  <x:tableParts count="1">
    <x:tablePart xmlns:r="http://schemas.openxmlformats.org/officeDocument/2006/relationships" r:id="R8f496cd0e9f54b1d"/>
  </x:tableParts>
</x:worksheet>
</file>

<file path=xl/worksheets/sheet3.xml><?xml version="1.0" encoding="utf-8"?>
<x:worksheet xmlns:x="http://schemas.openxmlformats.org/spreadsheetml/2006/main">
  <x:sheetFormatPr defaultRowHeight="15"/>
  <x:cols>
    <x:col min="1" max="1" width="25" hidden="0" customWidth="1"/>
    <x:col min="2" max="2" width="39" hidden="0" customWidth="1"/>
    <x:col min="3" max="3" width="52" hidden="0" customWidth="1"/>
    <x:col min="4" max="4" width="56" hidden="0" customWidth="1"/>
  </x:cols>
  <x:sheetData>
    <x:row r="1">
      <x:c r="A1" s="20" t="str">
        <x:v>Field</x:v>
      </x:c>
      <x:c r="B1" s="20" t="str">
        <x:v>Definition</x:v>
      </x:c>
      <x:c r="C1" s="20" t="str">
        <x:v>Allowed / normalized values</x:v>
      </x:c>
      <x:c r="D1" s="20" t="str">
        <x:v>Annotation rule</x:v>
      </x:c>
    </x:row>
    <x:row r="2">
      <x:c r="A2" s="13" t="str">
        <x:v>batch_id</x:v>
      </x:c>
      <x:c r="B2" s="13" t="str">
        <x:v>Annotation batch identifier</x:v>
      </x:c>
      <x:c r="C2" s="13" t="str">
        <x:v>batch_01; batch_02; …</x:v>
      </x:c>
      <x:c r="D2" s="13" t="str">
        <x:v>Used for provenance and rollback.</x:v>
      </x:c>
    </x:row>
    <x:row r="3">
      <x:c r="A3" s="13" t="str">
        <x:v>paper_id</x:v>
      </x:c>
      <x:c r="B3" s="13" t="str">
        <x:v>Stable internal identifier</x:v>
      </x:c>
      <x:c r="C3" s="13" t="str">
        <x:v>String</x:v>
      </x:c>
      <x:c r="D3" s="13" t="str">
        <x:v>Unique across all batches.</x:v>
      </x:c>
    </x:row>
    <x:row r="4">
      <x:c r="A4" s="13" t="str">
        <x:v>year</x:v>
      </x:c>
      <x:c r="B4" s="13" t="str">
        <x:v>First public appearance year</x:v>
      </x:c>
      <x:c r="C4" s="13" t="str">
        <x:v>Integer</x:v>
      </x:c>
      <x:c r="D4" s="13" t="str">
        <x:v>Use the first public preprint or publication; preserve later dates in year_basis.</x:v>
      </x:c>
    </x:row>
    <x:row r="5">
      <x:c r="A5" s="13" t="str">
        <x:v>paper_type</x:v>
      </x:c>
      <x:c r="B5" s="13" t="str">
        <x:v>Nature of the paper</x:v>
      </x:c>
      <x:c r="C5" s="13" t="str">
        <x:v>Method; Survey; Benchmark; Dataset</x:v>
      </x:c>
      <x:c r="D5" s="13" t="str">
        <x:v>Non-method papers are excluded from proposed-method counts.</x:v>
      </x:c>
    </x:row>
    <x:row r="6">
      <x:c r="A6" s="13" t="str">
        <x:v>long_horizon</x:v>
      </x:c>
      <x:c r="B6" s="13" t="str">
        <x:v>Whether an evaluated method task is temporally extended</x:v>
      </x:c>
      <x:c r="C6" s="13" t="str">
        <x:v>Yes; No; No / Unclear; N/A</x:v>
      </x:c>
      <x:c r="D6" s="13" t="str">
        <x:v>A model can reason over temporal chunks without evaluating long-horizon tasks.</x:v>
      </x:c>
    </x:row>
    <x:row r="7">
      <x:c r="A7" s="13" t="str">
        <x:v>uses_world_model</x:v>
      </x:c>
      <x:c r="B7" s="13" t="str">
        <x:v>Whether the downstream method predicts environment evolution</x:v>
      </x:c>
      <x:c r="C7" s="13" t="str">
        <x:v>Yes; No; Ambiguous; N/A</x:v>
      </x:c>
      <x:c r="D7" s="13" t="str">
        <x:v>Passive future prediction can qualify; action conditioning is recorded separately.</x:v>
      </x:c>
    </x:row>
    <x:row r="8">
      <x:c r="A8" s="13" t="str">
        <x:v>world_model_family</x:v>
      </x:c>
      <x:c r="B8" s="13" t="str">
        <x:v>Primary normalized world-model family</x:v>
      </x:c>
      <x:c r="C8" s="13" t="str">
        <x:v>JEPA; Latent Dynamics; RSSM; Diffusion; Video Prediction; Transformer; VAE; Object-Centric; Hybrid; None; N/A</x:v>
      </x:c>
      <x:c r="D8" s="13" t="str"/>
    </x:row>
    <x:row r="9">
      <x:c r="A9" s="13" t="str">
        <x:v>uses_planning</x:v>
      </x:c>
      <x:c r="B9" s="13" t="str">
        <x:v>Whether behavior is explicitly optimized through action search, rollout selection, or structured decomposition</x:v>
      </x:c>
      <x:c r="C9" s="13" t="str">
        <x:v>Yes; No; N/A</x:v>
      </x:c>
      <x:c r="D9" s="13" t="str">
        <x:v>Offline value estimation and policy-data filtering are No.</x:v>
      </x:c>
    </x:row>
    <x:row r="10">
      <x:c r="A10" s="13" t="str">
        <x:v>planning_method</x:v>
      </x:c>
      <x:c r="B10" s="13" t="str">
        <x:v>Primary normalized planning mechanism</x:v>
      </x:c>
      <x:c r="C10" s="13" t="str">
        <x:v>MPC; CEM; Best-of-N; Bayesian Optimization; MCTS; A*; Graph Search; Active Inference; Hierarchical; Language Planner; None; N/A</x:v>
      </x:c>
      <x:c r="D10" s="13" t="str"/>
    </x:row>
    <x:row r="11">
      <x:c r="A11" s="13" t="str">
        <x:v>planning_horizon</x:v>
      </x:c>
      <x:c r="B11" s="13" t="str">
        <x:v>Horizon of explicit planning</x:v>
      </x:c>
      <x:c r="C11" s="13" t="str">
        <x:v>None; Short; Medium; Long; N/A</x:v>
      </x:c>
      <x:c r="D11" s="13" t="str">
        <x:v>Keep task horizon, prediction window, and planner horizon separate.</x:v>
      </x:c>
    </x:row>
    <x:row r="12">
      <x:c r="A12" s="13" t="str">
        <x:v>planning_role</x:v>
      </x:c>
      <x:c r="B12" s="13" t="str">
        <x:v>Where planning or action generation occurs</x:v>
      </x:c>
      <x:c r="C12" s="13" t="str">
        <x:v>None; Local Controller; Skill Planner; High-Level Planner; Full End-to-End Planner; N/A</x:v>
      </x:c>
      <x:c r="D12" s="13" t="str"/>
    </x:row>
    <x:row r="13">
      <x:c r="A13" s="13" t="str">
        <x:v>replanning_online</x:v>
      </x:c>
      <x:c r="B13" s="13" t="str">
        <x:v>Whether plans or actions are refreshed using new observations</x:v>
      </x:c>
      <x:c r="C13" s="13" t="str">
        <x:v>Yes; No; No / Unclear; N/A; qualified text</x:v>
      </x:c>
      <x:c r="D13" s="13" t="str">
        <x:v>Offline evaluators are No.</x:v>
      </x:c>
    </x:row>
    <x:row r="14">
      <x:c r="A14" s="13" t="str">
        <x:v>confidence</x:v>
      </x:c>
      <x:c r="B14" s="13" t="str">
        <x:v>Confidence in the annotation row</x:v>
      </x:c>
      <x:c r="C14" s="13" t="str">
        <x:v>High; Medium; Low</x:v>
      </x:c>
      <x:c r="D14" s="13" t="str">
        <x:v>Put field-specific uncertainty in review_flags.</x:v>
      </x:c>
    </x:row>
    <x:row r="15">
      <x:c r="A15" s="13" t="str">
        <x:v>review_flags</x:v>
      </x:c>
      <x:c r="B15" s="13" t="str">
        <x:v>Scope and interpretation notes</x:v>
      </x:c>
      <x:c r="C15" s="13" t="str">
        <x:v>Free text</x:v>
      </x:c>
      <x:c r="D15" s="13" t="str">
        <x:v>Preserves strict method definitions and survey-level conceptual differences.</x:v>
      </x:c>
    </x:row>
  </x:sheetData>
  <x:pageMargins left="0.7" right="0.7" top="0.75" bottom="0.75" header="0.3" footer="0.3"/>
  <x:tableParts count="1">
    <x:tablePart xmlns:r="http://schemas.openxmlformats.org/officeDocument/2006/relationships" r:id="R51fa4f07fbe840f7"/>
  </x:tableParts>
</x:worksheet>
</file>